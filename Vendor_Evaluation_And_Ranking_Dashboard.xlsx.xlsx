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Eligibility_Check" sheetId="3" state="visible" r:id="rId3"/>
    <sheet xmlns:r="http://schemas.openxmlformats.org/officeDocument/2006/relationships" name="Technical_Scoring" sheetId="4" state="visible" r:id="rId4"/>
    <sheet xmlns:r="http://schemas.openxmlformats.org/officeDocument/2006/relationships" name="Financial_Evaluation" sheetId="5" state="visible" r:id="rId5"/>
    <sheet xmlns:r="http://schemas.openxmlformats.org/officeDocument/2006/relationships" name="Final_Ranking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ivot_Support" sheetId="8" state="visible" r:id="rId8"/>
  </sheets>
  <definedNames>
    <definedName name="_xlnm._FilterDatabase" localSheetId="1" hidden="1">'Raw_Data'!$A$1:$H$121</definedName>
    <definedName name="_xlnm._FilterDatabase" localSheetId="2" hidden="1">'Eligibility_Check'!$A$1:$L$121</definedName>
    <definedName name="_xlnm._FilterDatabase" localSheetId="3" hidden="1">'Technical_Scoring'!$A$1:$H$121</definedName>
    <definedName name="_xlnm._FilterDatabase" localSheetId="4" hidden="1">'Financial_Evaluation'!$A$1:$D$121</definedName>
    <definedName name="_xlnm._FilterDatabase" localSheetId="5" hidden="1">'Final_Ranking'!$A$1:$H$121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2E75B6"/>
      <sz val="13"/>
    </font>
    <font>
      <name val="Calibri"/>
      <color rgb="00404040"/>
      <sz val="11"/>
    </font>
    <font>
      <name val="Calibri"/>
      <b val="1"/>
      <color rgb="00FFFFFF"/>
      <sz val="11"/>
    </font>
    <font>
      <name val="Calibri"/>
      <color rgb="00404040"/>
      <sz val="10"/>
    </font>
    <font>
      <i val="1"/>
      <color rgb="00999999"/>
      <sz val="8"/>
    </font>
    <font>
      <name val="Calibri"/>
      <b val="1"/>
      <color rgb="001F3864"/>
      <sz val="22"/>
    </font>
    <font>
      <name val="Calibri"/>
      <i val="1"/>
      <color rgb="002E75B6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b val="1"/>
      <color rgb="001F3864"/>
      <sz val="12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DF2F9"/>
        <bgColor rgb="00EDF2F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386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9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9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9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10" fillId="4" borderId="2" applyAlignment="1" pivotButton="0" quotePrefix="0" xfId="0">
      <alignment horizontal="center" vertical="center"/>
    </xf>
    <xf numFmtId="3" fontId="10" fillId="5" borderId="2" applyAlignment="1" pivotButton="0" quotePrefix="0" xfId="0">
      <alignment horizontal="center" vertical="center"/>
    </xf>
    <xf numFmtId="3" fontId="10" fillId="6" borderId="2" applyAlignment="1" pivotButton="0" quotePrefix="0" xfId="0">
      <alignment horizontal="center" vertical="center"/>
    </xf>
    <xf numFmtId="165" fontId="10" fillId="7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Qualification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'Dashboard'!$B$9:$B$10</f>
            </numRef>
          </cat>
          <val>
            <numRef>
              <f>'Dashboard'!$C$9:$C$10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Vendors by Composite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'Final_Ranking'!G1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'Final_Ranking'!$B$2:$B$11</f>
            </numRef>
          </cat>
          <val>
            <numRef>
              <f>'Final_Ranking'!$G$2:$G$11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Distribution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'Dashboard'!$L$9:$L$13</f>
            </numRef>
          </cat>
          <val>
            <numRef>
              <f>'Dashboard'!$M$9:$M$13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Vendors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Vendor Count by Industry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'Dashboard'!$B$29:$B$36</f>
            </numRef>
          </cat>
          <val>
            <numRef>
              <f>'Dashboard'!$C$29:$C$36</f>
            </numRef>
          </val>
        </ser>
        <ser>
          <idx val="1"/>
          <order val="1"/>
          <tx>
            <strRef>
              <f>'Dashboard'!D28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'Dashboard'!$B$29:$B$36</f>
            </numRef>
          </cat>
          <val>
            <numRef>
              <f>'Dashboard'!$D$29:$D$36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11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37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VENDOR ELIGIBILITY, PERFORMANCE EVALUATION</t>
        </is>
      </c>
    </row>
    <row r="2">
      <c r="A2" s="1" t="inlineStr">
        <is>
          <t>&amp; EXECUTIVE DASHBOARD SYSTEM</t>
        </is>
      </c>
    </row>
    <row r="4">
      <c r="A4" s="2" t="inlineStr">
        <is>
          <t>Project Overview</t>
        </is>
      </c>
    </row>
    <row r="5">
      <c r="A5" s="3" t="inlineStr">
        <is>
          <t>This workbook provides a comprehensive, enterprise-grade vendor evaluation framework designed for procurement teams.</t>
        </is>
      </c>
    </row>
    <row r="6">
      <c r="A6" s="3" t="inlineStr">
        <is>
          <t>It automates the end-to-end assessment of potential vendors through structured eligibility screening, weighted technical scoring,</t>
        </is>
      </c>
    </row>
    <row r="7">
      <c r="A7" s="3" t="inlineStr">
        <is>
          <t>normalized financial evaluation, and composite ranking — supporting data-driven, defensible procurement decisions.</t>
        </is>
      </c>
    </row>
    <row r="9">
      <c r="A9" s="2" t="inlineStr">
        <is>
          <t>Business Problem</t>
        </is>
      </c>
    </row>
    <row r="10">
      <c r="A10" s="3" t="inlineStr">
        <is>
          <t>Organizations face subjective, inconsistent, and manual vendor selection processes. This leads to suboptimal partnerships,</t>
        </is>
      </c>
    </row>
    <row r="11">
      <c r="A11" s="3" t="inlineStr">
        <is>
          <t>compliance risk exposure, budget overruns, and an inability to benchmark vendor performance across categories and regions.</t>
        </is>
      </c>
    </row>
    <row r="13">
      <c r="A13" s="2" t="inlineStr">
        <is>
          <t>Methodology</t>
        </is>
      </c>
    </row>
    <row r="14">
      <c r="A14" s="3" t="inlineStr">
        <is>
          <t>1. Raw Data Ingestion — 120 vendor profiles with company details, industry, region, and bid pricing.</t>
        </is>
      </c>
    </row>
    <row r="15">
      <c r="A15" s="3" t="inlineStr">
        <is>
          <t>2. Eligibility Screening — 8 mandatory pass/fail criteria (min. 3 yrs business, 50+ employees, $1M+ revenue, valid contact, active region, bid cap, tech readiness, financial health).</t>
        </is>
      </c>
    </row>
    <row r="16">
      <c r="A16" s="3" t="inlineStr">
        <is>
          <t>3. Technical Scoring — Weighted evaluation across Experience (25%), Team Strength (25%), Project Delivery (25%), and Quality (25%) — each scored 0–100.</t>
        </is>
      </c>
    </row>
    <row r="17">
      <c r="A17" s="3" t="inlineStr">
        <is>
          <t>4. Financial Evaluation — Normalized bid scoring: (Lowest Bid / Vendor Bid) x 100. Lower bids receive higher scores.</t>
        </is>
      </c>
    </row>
    <row r="18">
      <c r="A18" s="3" t="inlineStr">
        <is>
          <t>5. Final Ranking — Composite score: Technical (70%) + Financial (30%), ranked using RANK.EQ.</t>
        </is>
      </c>
    </row>
    <row r="20">
      <c r="A20" s="2" t="inlineStr">
        <is>
          <t>Tools &amp; Techniques</t>
        </is>
      </c>
    </row>
    <row r="21">
      <c r="A21" s="3" t="inlineStr">
        <is>
          <t>Microsoft Excel — IF, IFS, XLOOKUP, INDEX-MATCH, SUMIFS, COUNTIFS, RANK.EQ, RANDBETWEEN,</t>
        </is>
      </c>
    </row>
    <row r="22">
      <c r="A22" s="3" t="inlineStr">
        <is>
          <t>Conditional Formatting, Data Validation, Named Ranges, Pivot Tables, Slicers, Charts.</t>
        </is>
      </c>
    </row>
    <row r="24">
      <c r="A24" s="2" t="inlineStr">
        <is>
          <t>Key Performance Indicators (KPIs)</t>
        </is>
      </c>
    </row>
    <row r="25">
      <c r="A25" s="3" t="inlineStr">
        <is>
          <t>Total Vendors Evaluated — Total number of companies in the evaluation pipeline.</t>
        </is>
      </c>
    </row>
    <row r="26">
      <c r="A26" s="3" t="inlineStr">
        <is>
          <t>Qualified Vendors — Vendors passing all 8 eligibility criteria.</t>
        </is>
      </c>
    </row>
    <row r="27">
      <c r="A27" s="3" t="inlineStr">
        <is>
          <t>Disqualified Vendors — Vendors failing one or more eligibility criteria.</t>
        </is>
      </c>
    </row>
    <row r="28">
      <c r="A28" s="3" t="inlineStr">
        <is>
          <t>Average Composite Score — Mean of the weighted Technical + Financial score across all vendors.</t>
        </is>
      </c>
    </row>
    <row r="29">
      <c r="A29" s="3" t="inlineStr">
        <is>
          <t>Top Ranked Vendor — Vendor with the highest composite score (Rank = 1).</t>
        </is>
      </c>
    </row>
    <row r="31">
      <c r="A31" s="2" t="inlineStr">
        <is>
          <t>Dashboard Interactivity</t>
        </is>
      </c>
    </row>
    <row r="32">
      <c r="A32" s="3" t="inlineStr">
        <is>
          <t>The Dashboard sheet features KPI cards, pie chart (qualification split), bar chart (top 10 vendors),</t>
        </is>
      </c>
    </row>
    <row r="33">
      <c r="A33" s="3" t="inlineStr">
        <is>
          <t>and a score distribution chart. Use Slicers on the Pivot Tables for interactive filtering by Industry, Region, and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18" customWidth="1" min="4" max="4"/>
    <col width="14" customWidth="1" min="5" max="5"/>
    <col width="20" customWidth="1" min="6" max="6"/>
    <col width="35" customWidth="1" min="7" max="7"/>
    <col width="16" customWidth="1" min="8" max="8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Region</t>
        </is>
      </c>
      <c r="D1" s="4" t="inlineStr">
        <is>
          <t>Years in Business</t>
        </is>
      </c>
      <c r="E1" s="4" t="inlineStr">
        <is>
          <t>Employees</t>
        </is>
      </c>
      <c r="F1" s="4" t="inlineStr">
        <is>
          <t>Annual Revenue ($)</t>
        </is>
      </c>
      <c r="G1" s="4" t="inlineStr">
        <is>
          <t>Contact Info</t>
        </is>
      </c>
      <c r="H1" s="4" t="inlineStr">
        <is>
          <t>Bid Price ($)</t>
        </is>
      </c>
    </row>
    <row r="2">
      <c r="A2" s="5" t="inlineStr">
        <is>
          <t>Nexus Solutions Omega</t>
        </is>
      </c>
      <c r="B2" s="6" t="inlineStr">
        <is>
          <t>Manufacturing</t>
        </is>
      </c>
      <c r="C2" s="6" t="inlineStr">
        <is>
          <t>Europe</t>
        </is>
      </c>
      <c r="D2" s="6" t="n">
        <v>6</v>
      </c>
      <c r="E2" s="6" t="n">
        <v>889</v>
      </c>
      <c r="F2" s="7" t="n">
        <v>365300269</v>
      </c>
      <c r="G2" s="6" t="inlineStr">
        <is>
          <t>contact@nexussolutionsomega.com</t>
        </is>
      </c>
      <c r="H2" s="7" t="n">
        <v>1653292</v>
      </c>
    </row>
    <row r="3">
      <c r="A3" s="8" t="inlineStr">
        <is>
          <t>Apex Solutions Beta</t>
        </is>
      </c>
      <c r="B3" s="9" t="inlineStr">
        <is>
          <t>Manufacturing</t>
        </is>
      </c>
      <c r="C3" s="9" t="inlineStr">
        <is>
          <t>Europe</t>
        </is>
      </c>
      <c r="D3" s="9" t="n">
        <v>18</v>
      </c>
      <c r="E3" s="9" t="n">
        <v>4981</v>
      </c>
      <c r="F3" s="10" t="n">
        <v>16246390</v>
      </c>
      <c r="G3" s="9" t="inlineStr">
        <is>
          <t>contact@apexsolutionsbeta.com</t>
        </is>
      </c>
      <c r="H3" s="10" t="n">
        <v>1277016</v>
      </c>
    </row>
    <row r="4">
      <c r="A4" s="5" t="inlineStr">
        <is>
          <t>Cobalt Corp Nova</t>
        </is>
      </c>
      <c r="B4" s="6" t="inlineStr">
        <is>
          <t>Retail</t>
        </is>
      </c>
      <c r="C4" s="6" t="inlineStr">
        <is>
          <t>North America</t>
        </is>
      </c>
      <c r="D4" s="6" t="n">
        <v>7</v>
      </c>
      <c r="E4" s="6" t="n">
        <v>3512</v>
      </c>
      <c r="F4" s="7" t="n">
        <v>184670606</v>
      </c>
      <c r="G4" s="6" t="inlineStr">
        <is>
          <t>contact@cobaltcorpnova.com</t>
        </is>
      </c>
      <c r="H4" s="7" t="n">
        <v>682738</v>
      </c>
    </row>
    <row r="5">
      <c r="A5" s="8" t="inlineStr">
        <is>
          <t>Prime Partners Beta</t>
        </is>
      </c>
      <c r="B5" s="9" t="inlineStr">
        <is>
          <t>Energy</t>
        </is>
      </c>
      <c r="C5" s="9" t="inlineStr">
        <is>
          <t>Asia Pacific</t>
        </is>
      </c>
      <c r="D5" s="9" t="n">
        <v>21</v>
      </c>
      <c r="E5" s="9" t="n">
        <v>2216</v>
      </c>
      <c r="F5" s="10" t="n">
        <v>435323695</v>
      </c>
      <c r="G5" s="9" t="inlineStr">
        <is>
          <t>contact@primepartnersbeta.com</t>
        </is>
      </c>
      <c r="H5" s="10" t="n">
        <v>191122</v>
      </c>
    </row>
    <row r="6">
      <c r="A6" s="5" t="inlineStr">
        <is>
          <t>Prime Dynamics Omega</t>
        </is>
      </c>
      <c r="B6" s="6" t="inlineStr">
        <is>
          <t>Energy</t>
        </is>
      </c>
      <c r="C6" s="6" t="inlineStr">
        <is>
          <t>Middle East &amp; Africa</t>
        </is>
      </c>
      <c r="D6" s="6" t="n">
        <v>8</v>
      </c>
      <c r="E6" s="6" t="n">
        <v>619</v>
      </c>
      <c r="F6" s="7" t="n">
        <v>26601779</v>
      </c>
      <c r="G6" s="6" t="inlineStr">
        <is>
          <t>contact@primedynamicsomega.com</t>
        </is>
      </c>
      <c r="H6" s="7" t="n">
        <v>1486769</v>
      </c>
    </row>
    <row r="7">
      <c r="A7" s="8" t="inlineStr">
        <is>
          <t>Nexus Partners Omega</t>
        </is>
      </c>
      <c r="B7" s="9" t="inlineStr">
        <is>
          <t>Logistics</t>
        </is>
      </c>
      <c r="C7" s="9" t="inlineStr">
        <is>
          <t>Asia Pacific</t>
        </is>
      </c>
      <c r="D7" s="9" t="n">
        <v>7</v>
      </c>
      <c r="E7" s="9" t="n">
        <v>3082</v>
      </c>
      <c r="F7" s="10" t="n">
        <v>192734506</v>
      </c>
      <c r="G7" s="9" t="inlineStr">
        <is>
          <t>contact@nexuspartnersomega.com</t>
        </is>
      </c>
      <c r="H7" s="10" t="n">
        <v>539368</v>
      </c>
    </row>
    <row r="8">
      <c r="A8" s="5" t="inlineStr">
        <is>
          <t>Orion Group Pro</t>
        </is>
      </c>
      <c r="B8" s="6" t="inlineStr">
        <is>
          <t>Manufacturing</t>
        </is>
      </c>
      <c r="C8" s="6" t="inlineStr">
        <is>
          <t>Europe</t>
        </is>
      </c>
      <c r="D8" s="6" t="n">
        <v>16</v>
      </c>
      <c r="E8" s="6" t="n">
        <v>3158</v>
      </c>
      <c r="F8" s="7" t="n">
        <v>146927134</v>
      </c>
      <c r="G8" s="6" t="inlineStr">
        <is>
          <t>contact@oriongrouppro.com</t>
        </is>
      </c>
      <c r="H8" s="7" t="n">
        <v>1442176</v>
      </c>
    </row>
    <row r="9">
      <c r="A9" s="8" t="inlineStr">
        <is>
          <t>Zenith Solutions Prime</t>
        </is>
      </c>
      <c r="B9" s="9" t="inlineStr">
        <is>
          <t>Telecom</t>
        </is>
      </c>
      <c r="C9" s="9" t="inlineStr">
        <is>
          <t>Asia Pacific</t>
        </is>
      </c>
      <c r="D9" s="9" t="n">
        <v>4</v>
      </c>
      <c r="E9" s="9" t="n">
        <v>1778</v>
      </c>
      <c r="F9" s="10" t="n">
        <v>492236220</v>
      </c>
      <c r="G9" s="9" t="inlineStr">
        <is>
          <t>contact@zenithsolutionsprime.com</t>
        </is>
      </c>
      <c r="H9" s="10" t="n">
        <v>1289462</v>
      </c>
    </row>
    <row r="10">
      <c r="A10" s="5" t="inlineStr">
        <is>
          <t>Atlas Industries Gamma</t>
        </is>
      </c>
      <c r="B10" s="6" t="inlineStr">
        <is>
          <t>Retail</t>
        </is>
      </c>
      <c r="C10" s="6" t="inlineStr">
        <is>
          <t>Europe</t>
        </is>
      </c>
      <c r="D10" s="6" t="n">
        <v>9</v>
      </c>
      <c r="E10" s="6" t="n">
        <v>4648</v>
      </c>
      <c r="F10" s="7" t="n">
        <v>291361229</v>
      </c>
      <c r="G10" s="6" t="inlineStr">
        <is>
          <t>contact@atlasindustriesgamma.com</t>
        </is>
      </c>
      <c r="H10" s="7" t="n">
        <v>651009</v>
      </c>
    </row>
    <row r="11">
      <c r="A11" s="8" t="inlineStr">
        <is>
          <t>Sterling Corp Gamma</t>
        </is>
      </c>
      <c r="B11" s="9" t="inlineStr">
        <is>
          <t>Logistics</t>
        </is>
      </c>
      <c r="C11" s="9" t="inlineStr">
        <is>
          <t>North America</t>
        </is>
      </c>
      <c r="D11" s="9" t="n">
        <v>3</v>
      </c>
      <c r="E11" s="9" t="n">
        <v>948</v>
      </c>
      <c r="F11" s="10" t="n">
        <v>84056059</v>
      </c>
      <c r="G11" s="9" t="inlineStr">
        <is>
          <t>contact@sterlingcorpgamma.com</t>
        </is>
      </c>
      <c r="H11" s="10" t="n">
        <v>1415849</v>
      </c>
    </row>
    <row r="12">
      <c r="A12" s="5" t="inlineStr">
        <is>
          <t>Prime Partners Core</t>
        </is>
      </c>
      <c r="B12" s="6" t="inlineStr">
        <is>
          <t>Logistics</t>
        </is>
      </c>
      <c r="C12" s="6" t="inlineStr">
        <is>
          <t>Middle East &amp; Africa</t>
        </is>
      </c>
      <c r="D12" s="6" t="n">
        <v>10</v>
      </c>
      <c r="E12" s="6" t="n">
        <v>4582</v>
      </c>
      <c r="F12" s="7" t="n">
        <v>464127581</v>
      </c>
      <c r="G12" s="6" t="inlineStr">
        <is>
          <t>contact@primepartnerscore.com</t>
        </is>
      </c>
      <c r="H12" s="7" t="n">
        <v>124077</v>
      </c>
    </row>
    <row r="13">
      <c r="A13" s="8" t="inlineStr">
        <is>
          <t>Meridian Systems Omega</t>
        </is>
      </c>
      <c r="B13" s="9" t="inlineStr">
        <is>
          <t>Telecom</t>
        </is>
      </c>
      <c r="C13" s="9" t="inlineStr">
        <is>
          <t>Europe</t>
        </is>
      </c>
      <c r="D13" s="9" t="n">
        <v>16</v>
      </c>
      <c r="E13" s="9" t="n">
        <v>76</v>
      </c>
      <c r="F13" s="10" t="n">
        <v>389670222</v>
      </c>
      <c r="G13" s="9" t="inlineStr">
        <is>
          <t>contact@meridiansystemsomega.com</t>
        </is>
      </c>
      <c r="H13" s="10" t="n">
        <v>1936796</v>
      </c>
    </row>
    <row r="14">
      <c r="A14" s="5" t="inlineStr">
        <is>
          <t>Nexus Enterprises Pro</t>
        </is>
      </c>
      <c r="B14" s="6" t="inlineStr">
        <is>
          <t>Manufacturing</t>
        </is>
      </c>
      <c r="C14" s="6" t="inlineStr">
        <is>
          <t>Europe</t>
        </is>
      </c>
      <c r="D14" s="6" t="n">
        <v>13</v>
      </c>
      <c r="E14" s="6" t="n">
        <v>1373</v>
      </c>
      <c r="F14" s="7" t="n">
        <v>291576908</v>
      </c>
      <c r="G14" s="6" t="inlineStr">
        <is>
          <t>contact@nexusenterprisespro.com</t>
        </is>
      </c>
      <c r="H14" s="7" t="n">
        <v>1732898</v>
      </c>
    </row>
    <row r="15">
      <c r="A15" s="8" t="inlineStr">
        <is>
          <t>Crest Solutions Beta</t>
        </is>
      </c>
      <c r="B15" s="9" t="inlineStr">
        <is>
          <t>Energy</t>
        </is>
      </c>
      <c r="C15" s="9" t="inlineStr">
        <is>
          <t>Asia Pacific</t>
        </is>
      </c>
      <c r="D15" s="9" t="n">
        <v>9</v>
      </c>
      <c r="E15" s="9" t="n">
        <v>524</v>
      </c>
      <c r="F15" s="10" t="n">
        <v>131316949</v>
      </c>
      <c r="G15" s="9" t="inlineStr">
        <is>
          <t>contact@crestsolutionsbeta.com</t>
        </is>
      </c>
      <c r="H15" s="10" t="n">
        <v>1941319</v>
      </c>
    </row>
    <row r="16">
      <c r="A16" s="5" t="inlineStr">
        <is>
          <t>Prime Dynamics Gamma</t>
        </is>
      </c>
      <c r="B16" s="6" t="inlineStr">
        <is>
          <t>Finance</t>
        </is>
      </c>
      <c r="C16" s="6" t="inlineStr">
        <is>
          <t>Latin America</t>
        </is>
      </c>
      <c r="D16" s="6" t="n">
        <v>19</v>
      </c>
      <c r="E16" s="6" t="n">
        <v>1402</v>
      </c>
      <c r="F16" s="7" t="n">
        <v>144301192</v>
      </c>
      <c r="G16" s="6" t="inlineStr">
        <is>
          <t>contact@primedynamicsgamma.com</t>
        </is>
      </c>
      <c r="H16" s="7" t="n">
        <v>1206612</v>
      </c>
    </row>
    <row r="17">
      <c r="A17" s="8" t="inlineStr">
        <is>
          <t>Vanguard Enterprises Core</t>
        </is>
      </c>
      <c r="B17" s="9" t="inlineStr">
        <is>
          <t>Energy</t>
        </is>
      </c>
      <c r="C17" s="9" t="inlineStr">
        <is>
          <t>Latin America</t>
        </is>
      </c>
      <c r="D17" s="9" t="n">
        <v>18</v>
      </c>
      <c r="E17" s="9" t="n">
        <v>3748</v>
      </c>
      <c r="F17" s="10" t="n">
        <v>66963634</v>
      </c>
      <c r="G17" s="9" t="inlineStr">
        <is>
          <t>contact@vanguardenterprisescore.com</t>
        </is>
      </c>
      <c r="H17" s="10" t="n">
        <v>619895</v>
      </c>
    </row>
    <row r="18">
      <c r="A18" s="5" t="inlineStr">
        <is>
          <t>Vector Dynamics Delta</t>
        </is>
      </c>
      <c r="B18" s="6" t="inlineStr">
        <is>
          <t>Manufacturing</t>
        </is>
      </c>
      <c r="C18" s="6" t="inlineStr">
        <is>
          <t>North America</t>
        </is>
      </c>
      <c r="D18" s="6" t="n">
        <v>4</v>
      </c>
      <c r="E18" s="6" t="n">
        <v>532</v>
      </c>
      <c r="F18" s="7" t="n">
        <v>124912186</v>
      </c>
      <c r="G18" s="6" t="inlineStr">
        <is>
          <t>contact@vectordynamicsdelta.com</t>
        </is>
      </c>
      <c r="H18" s="7" t="n">
        <v>241348</v>
      </c>
    </row>
    <row r="19">
      <c r="A19" s="8" t="inlineStr">
        <is>
          <t>Zenith Enterprises Nova</t>
        </is>
      </c>
      <c r="B19" s="9" t="inlineStr">
        <is>
          <t>Manufacturing</t>
        </is>
      </c>
      <c r="C19" s="9" t="inlineStr">
        <is>
          <t>Middle East &amp; Africa</t>
        </is>
      </c>
      <c r="D19" s="9" t="n">
        <v>6</v>
      </c>
      <c r="E19" s="9" t="n">
        <v>4727</v>
      </c>
      <c r="F19" s="10" t="n">
        <v>311351272</v>
      </c>
      <c r="G19" s="9" t="inlineStr">
        <is>
          <t>contact@zenithenterprisesnova.com</t>
        </is>
      </c>
      <c r="H19" s="10" t="n">
        <v>1091262</v>
      </c>
    </row>
    <row r="20">
      <c r="A20" s="5" t="inlineStr">
        <is>
          <t>Nexus Systems Core</t>
        </is>
      </c>
      <c r="B20" s="6" t="inlineStr">
        <is>
          <t>Energy</t>
        </is>
      </c>
      <c r="C20" s="6" t="inlineStr">
        <is>
          <t>Latin America</t>
        </is>
      </c>
      <c r="D20" s="6" t="n">
        <v>15</v>
      </c>
      <c r="E20" s="6" t="n">
        <v>3875</v>
      </c>
      <c r="F20" s="7" t="n">
        <v>465768821</v>
      </c>
      <c r="G20" s="6" t="inlineStr">
        <is>
          <t>contact@nexussystemscore.com</t>
        </is>
      </c>
      <c r="H20" s="7" t="n">
        <v>1628982</v>
      </c>
    </row>
    <row r="21">
      <c r="A21" s="8" t="inlineStr">
        <is>
          <t>Apex Partners Prime</t>
        </is>
      </c>
      <c r="B21" s="9" t="inlineStr">
        <is>
          <t>Healthcare</t>
        </is>
      </c>
      <c r="C21" s="9" t="inlineStr">
        <is>
          <t>Europe</t>
        </is>
      </c>
      <c r="D21" s="9" t="n">
        <v>8</v>
      </c>
      <c r="E21" s="9" t="n">
        <v>1608</v>
      </c>
      <c r="F21" s="10" t="n">
        <v>289916220</v>
      </c>
      <c r="G21" s="9" t="inlineStr">
        <is>
          <t>contact@apexpartnersprime.com</t>
        </is>
      </c>
      <c r="H21" s="10" t="n">
        <v>1040810</v>
      </c>
    </row>
    <row r="22">
      <c r="A22" s="5" t="inlineStr">
        <is>
          <t>Titan Corp Beta</t>
        </is>
      </c>
      <c r="B22" s="6" t="inlineStr">
        <is>
          <t>Logistics</t>
        </is>
      </c>
      <c r="C22" s="6" t="inlineStr">
        <is>
          <t>Middle East &amp; Africa</t>
        </is>
      </c>
      <c r="D22" s="6" t="n">
        <v>5</v>
      </c>
      <c r="E22" s="6" t="n">
        <v>464</v>
      </c>
      <c r="F22" s="7" t="n">
        <v>352117623</v>
      </c>
      <c r="G22" s="6" t="inlineStr">
        <is>
          <t>contact@titancorpbeta.com</t>
        </is>
      </c>
      <c r="H22" s="7" t="n">
        <v>1233695</v>
      </c>
    </row>
    <row r="23">
      <c r="A23" s="8" t="inlineStr">
        <is>
          <t>Cobalt Industries Nova</t>
        </is>
      </c>
      <c r="B23" s="9" t="inlineStr">
        <is>
          <t>Manufacturing</t>
        </is>
      </c>
      <c r="C23" s="9" t="inlineStr">
        <is>
          <t>Latin America</t>
        </is>
      </c>
      <c r="D23" s="9" t="n">
        <v>3</v>
      </c>
      <c r="E23" s="9" t="n">
        <v>1398</v>
      </c>
      <c r="F23" s="10" t="n">
        <v>205459644</v>
      </c>
      <c r="G23" s="9" t="inlineStr">
        <is>
          <t>contact@cobaltindustriesnova.com</t>
        </is>
      </c>
      <c r="H23" s="10" t="n">
        <v>104520</v>
      </c>
    </row>
    <row r="24">
      <c r="A24" s="5" t="inlineStr">
        <is>
          <t>Cobalt Dynamics Nova</t>
        </is>
      </c>
      <c r="B24" s="6" t="inlineStr">
        <is>
          <t>Finance</t>
        </is>
      </c>
      <c r="C24" s="6" t="inlineStr">
        <is>
          <t>Europe</t>
        </is>
      </c>
      <c r="D24" s="6" t="n">
        <v>11</v>
      </c>
      <c r="E24" s="6" t="n">
        <v>1833</v>
      </c>
      <c r="F24" s="7" t="n">
        <v>33397978</v>
      </c>
      <c r="G24" s="6" t="inlineStr">
        <is>
          <t>contact@cobaltdynamicsnova.com</t>
        </is>
      </c>
      <c r="H24" s="7" t="n">
        <v>1314629</v>
      </c>
    </row>
    <row r="25">
      <c r="A25" s="8" t="inlineStr">
        <is>
          <t>Apex Capital Nova</t>
        </is>
      </c>
      <c r="B25" s="9" t="inlineStr">
        <is>
          <t>Finance</t>
        </is>
      </c>
      <c r="C25" s="9" t="inlineStr">
        <is>
          <t>North America</t>
        </is>
      </c>
      <c r="D25" s="9" t="n">
        <v>18</v>
      </c>
      <c r="E25" s="9" t="n">
        <v>706</v>
      </c>
      <c r="F25" s="10" t="n">
        <v>459061050</v>
      </c>
      <c r="G25" s="9" t="inlineStr">
        <is>
          <t>contact@apexcapitalnova.com</t>
        </is>
      </c>
      <c r="H25" s="10" t="n">
        <v>489703</v>
      </c>
    </row>
    <row r="26">
      <c r="A26" s="5" t="inlineStr">
        <is>
          <t>Atlas Systems Edge</t>
        </is>
      </c>
      <c r="B26" s="6" t="inlineStr">
        <is>
          <t>Manufacturing</t>
        </is>
      </c>
      <c r="C26" s="6" t="inlineStr">
        <is>
          <t>Middle East &amp; Africa</t>
        </is>
      </c>
      <c r="D26" s="6" t="n">
        <v>21</v>
      </c>
      <c r="E26" s="6" t="n">
        <v>375</v>
      </c>
      <c r="F26" s="7" t="n">
        <v>334527916</v>
      </c>
      <c r="G26" s="6" t="inlineStr">
        <is>
          <t>contact@atlassystemsedge.com</t>
        </is>
      </c>
      <c r="H26" s="7" t="n">
        <v>271931</v>
      </c>
    </row>
    <row r="27">
      <c r="A27" s="8" t="inlineStr">
        <is>
          <t>Summit Technologies Omega</t>
        </is>
      </c>
      <c r="B27" s="9" t="inlineStr">
        <is>
          <t>Manufacturing</t>
        </is>
      </c>
      <c r="C27" s="9" t="inlineStr">
        <is>
          <t>Asia Pacific</t>
        </is>
      </c>
      <c r="D27" s="9" t="n">
        <v>9</v>
      </c>
      <c r="E27" s="9" t="n">
        <v>2225</v>
      </c>
      <c r="F27" s="10" t="n">
        <v>214485908</v>
      </c>
      <c r="G27" s="9" t="inlineStr">
        <is>
          <t>contact@summittechnologiesomega.com</t>
        </is>
      </c>
      <c r="H27" s="10" t="n">
        <v>374471</v>
      </c>
    </row>
    <row r="28">
      <c r="A28" s="5" t="inlineStr">
        <is>
          <t>Global Industries Edge</t>
        </is>
      </c>
      <c r="B28" s="6" t="inlineStr">
        <is>
          <t>Healthcare</t>
        </is>
      </c>
      <c r="C28" s="6" t="inlineStr">
        <is>
          <t>North America</t>
        </is>
      </c>
      <c r="D28" s="6" t="n">
        <v>19</v>
      </c>
      <c r="E28" s="6" t="n">
        <v>1796</v>
      </c>
      <c r="F28" s="7" t="n">
        <v>273594777</v>
      </c>
      <c r="G28" s="6" t="inlineStr">
        <is>
          <t>contact@globalindustriesedge.com</t>
        </is>
      </c>
      <c r="H28" s="7" t="n">
        <v>656165</v>
      </c>
    </row>
    <row r="29">
      <c r="A29" s="8" t="inlineStr">
        <is>
          <t>Sterling Enterprises Gamma</t>
        </is>
      </c>
      <c r="B29" s="9" t="inlineStr">
        <is>
          <t>Logistics</t>
        </is>
      </c>
      <c r="C29" s="9" t="inlineStr">
        <is>
          <t>Middle East &amp; Africa</t>
        </is>
      </c>
      <c r="D29" s="9" t="n">
        <v>24</v>
      </c>
      <c r="E29" s="9" t="n">
        <v>2528</v>
      </c>
      <c r="F29" s="10" t="n">
        <v>330391997</v>
      </c>
      <c r="G29" s="9" t="inlineStr">
        <is>
          <t>contact@sterlingenterprisesgamma.com</t>
        </is>
      </c>
      <c r="H29" s="10" t="n">
        <v>1792611</v>
      </c>
    </row>
    <row r="30">
      <c r="A30" s="5" t="inlineStr">
        <is>
          <t>Pinnacle Systems Gamma</t>
        </is>
      </c>
      <c r="B30" s="6" t="inlineStr">
        <is>
          <t>Retail</t>
        </is>
      </c>
      <c r="C30" s="6" t="inlineStr">
        <is>
          <t>North America</t>
        </is>
      </c>
      <c r="D30" s="6" t="n">
        <v>5</v>
      </c>
      <c r="E30" s="6" t="n">
        <v>4582</v>
      </c>
      <c r="F30" s="7" t="n">
        <v>85455461</v>
      </c>
      <c r="G30" s="6" t="inlineStr">
        <is>
          <t>contact@pinnaclesystemsgamma.com</t>
        </is>
      </c>
      <c r="H30" s="7" t="n">
        <v>671155</v>
      </c>
    </row>
    <row r="31">
      <c r="A31" s="8" t="inlineStr">
        <is>
          <t>Vanguard Enterprises Pro</t>
        </is>
      </c>
      <c r="B31" s="9" t="inlineStr">
        <is>
          <t>Logistics</t>
        </is>
      </c>
      <c r="C31" s="9" t="inlineStr">
        <is>
          <t>Asia Pacific</t>
        </is>
      </c>
      <c r="D31" s="9" t="n">
        <v>3</v>
      </c>
      <c r="E31" s="9" t="n">
        <v>806</v>
      </c>
      <c r="F31" s="10" t="n">
        <v>342528868</v>
      </c>
      <c r="G31" s="9" t="inlineStr">
        <is>
          <t>contact@vanguardenterprisespro.com</t>
        </is>
      </c>
      <c r="H31" s="10" t="n">
        <v>988302</v>
      </c>
    </row>
    <row r="32">
      <c r="A32" s="5" t="inlineStr">
        <is>
          <t>Synergy Enterprises Gamma</t>
        </is>
      </c>
      <c r="B32" s="6" t="inlineStr">
        <is>
          <t>Logistics</t>
        </is>
      </c>
      <c r="C32" s="6" t="inlineStr">
        <is>
          <t>Middle East &amp; Africa</t>
        </is>
      </c>
      <c r="D32" s="6" t="n">
        <v>24</v>
      </c>
      <c r="E32" s="6" t="n">
        <v>3553</v>
      </c>
      <c r="F32" s="7" t="n">
        <v>303134582</v>
      </c>
      <c r="G32" s="6" t="inlineStr">
        <is>
          <t>contact@synergyenterprisesgamma.com</t>
        </is>
      </c>
      <c r="H32" s="7" t="n">
        <v>120278</v>
      </c>
    </row>
    <row r="33">
      <c r="A33" s="8" t="inlineStr">
        <is>
          <t>Apex Technologies Edge</t>
        </is>
      </c>
      <c r="B33" s="9" t="inlineStr">
        <is>
          <t>Finance</t>
        </is>
      </c>
      <c r="C33" s="9" t="inlineStr">
        <is>
          <t>Latin America</t>
        </is>
      </c>
      <c r="D33" s="9" t="n">
        <v>6</v>
      </c>
      <c r="E33" s="9" t="n">
        <v>392</v>
      </c>
      <c r="F33" s="10" t="n">
        <v>167494940</v>
      </c>
      <c r="G33" s="9" t="inlineStr">
        <is>
          <t>contact@apextechnologiesedge.com</t>
        </is>
      </c>
      <c r="H33" s="10" t="n">
        <v>864729</v>
      </c>
    </row>
    <row r="34">
      <c r="A34" s="5" t="inlineStr">
        <is>
          <t>Nexus Technologies Pro</t>
        </is>
      </c>
      <c r="B34" s="6" t="inlineStr">
        <is>
          <t>Telecom</t>
        </is>
      </c>
      <c r="C34" s="6" t="inlineStr">
        <is>
          <t>Middle East &amp; Africa</t>
        </is>
      </c>
      <c r="D34" s="6" t="n">
        <v>25</v>
      </c>
      <c r="E34" s="6" t="n">
        <v>1316</v>
      </c>
      <c r="F34" s="7" t="n">
        <v>499015667</v>
      </c>
      <c r="G34" s="6" t="inlineStr">
        <is>
          <t>contact@nexustechnologiespro.com</t>
        </is>
      </c>
      <c r="H34" s="7" t="n">
        <v>596474</v>
      </c>
    </row>
    <row r="35">
      <c r="A35" s="8" t="inlineStr">
        <is>
          <t>Quantum Technologies Core</t>
        </is>
      </c>
      <c r="B35" s="9" t="inlineStr">
        <is>
          <t>Manufacturing</t>
        </is>
      </c>
      <c r="C35" s="9" t="inlineStr">
        <is>
          <t>Asia Pacific</t>
        </is>
      </c>
      <c r="D35" s="9" t="n">
        <v>7</v>
      </c>
      <c r="E35" s="9" t="n">
        <v>935</v>
      </c>
      <c r="F35" s="10" t="n">
        <v>207375523</v>
      </c>
      <c r="G35" s="9" t="inlineStr">
        <is>
          <t>contact@quantumtechnologiescore.com</t>
        </is>
      </c>
      <c r="H35" s="10" t="n">
        <v>1929066</v>
      </c>
    </row>
    <row r="36">
      <c r="A36" s="5" t="inlineStr">
        <is>
          <t>Titan Technologies Omega</t>
        </is>
      </c>
      <c r="B36" s="6" t="inlineStr">
        <is>
          <t>Manufacturing</t>
        </is>
      </c>
      <c r="C36" s="6" t="inlineStr">
        <is>
          <t>Europe</t>
        </is>
      </c>
      <c r="D36" s="6" t="n">
        <v>2</v>
      </c>
      <c r="E36" s="6" t="n">
        <v>1632</v>
      </c>
      <c r="F36" s="7" t="n">
        <v>215924794</v>
      </c>
      <c r="G36" s="6" t="inlineStr">
        <is>
          <t>contact@titantechnologiesomega.com</t>
        </is>
      </c>
      <c r="H36" s="7" t="n">
        <v>788415</v>
      </c>
    </row>
    <row r="37">
      <c r="A37" s="8" t="inlineStr">
        <is>
          <t>Summit Partners Pro</t>
        </is>
      </c>
      <c r="B37" s="9" t="inlineStr">
        <is>
          <t>Energy</t>
        </is>
      </c>
      <c r="C37" s="9" t="inlineStr">
        <is>
          <t>North America</t>
        </is>
      </c>
      <c r="D37" s="9" t="n">
        <v>5</v>
      </c>
      <c r="E37" s="9" t="n">
        <v>2189</v>
      </c>
      <c r="F37" s="10" t="n">
        <v>97867867</v>
      </c>
      <c r="G37" s="9" t="inlineStr">
        <is>
          <t>contact@summitpartnerspro.com</t>
        </is>
      </c>
      <c r="H37" s="10" t="n">
        <v>1317584</v>
      </c>
    </row>
    <row r="38">
      <c r="A38" s="5" t="inlineStr">
        <is>
          <t>Cobalt Technologies Prime</t>
        </is>
      </c>
      <c r="B38" s="6" t="inlineStr">
        <is>
          <t>Telecom</t>
        </is>
      </c>
      <c r="C38" s="6" t="inlineStr">
        <is>
          <t>Middle East &amp; Africa</t>
        </is>
      </c>
      <c r="D38" s="6" t="n">
        <v>18</v>
      </c>
      <c r="E38" s="6" t="n">
        <v>997</v>
      </c>
      <c r="F38" s="7" t="n">
        <v>208800220</v>
      </c>
      <c r="G38" s="6" t="inlineStr">
        <is>
          <t>contact@cobalttechnologiesprime.com</t>
        </is>
      </c>
      <c r="H38" s="7" t="n">
        <v>1986398</v>
      </c>
    </row>
    <row r="39">
      <c r="A39" s="8" t="inlineStr">
        <is>
          <t>Cobalt Solutions Pro</t>
        </is>
      </c>
      <c r="B39" s="9" t="inlineStr">
        <is>
          <t>Manufacturing</t>
        </is>
      </c>
      <c r="C39" s="9" t="inlineStr">
        <is>
          <t>Asia Pacific</t>
        </is>
      </c>
      <c r="D39" s="9" t="n">
        <v>15</v>
      </c>
      <c r="E39" s="9" t="n">
        <v>623</v>
      </c>
      <c r="F39" s="10" t="n">
        <v>358609890</v>
      </c>
      <c r="G39" s="9" t="inlineStr">
        <is>
          <t>contact@cobaltsolutionspro.com</t>
        </is>
      </c>
      <c r="H39" s="10" t="n">
        <v>792479</v>
      </c>
    </row>
    <row r="40">
      <c r="A40" s="5" t="inlineStr">
        <is>
          <t>Pinnacle Dynamics Omega</t>
        </is>
      </c>
      <c r="B40" s="6" t="inlineStr">
        <is>
          <t>Telecom</t>
        </is>
      </c>
      <c r="C40" s="6" t="inlineStr">
        <is>
          <t>Asia Pacific</t>
        </is>
      </c>
      <c r="D40" s="6" t="n">
        <v>14</v>
      </c>
      <c r="E40" s="6" t="n">
        <v>2472</v>
      </c>
      <c r="F40" s="7" t="n">
        <v>299647935</v>
      </c>
      <c r="G40" s="6" t="inlineStr">
        <is>
          <t>contact@pinnacledynamicsomega.com</t>
        </is>
      </c>
      <c r="H40" s="7" t="n">
        <v>366941</v>
      </c>
    </row>
    <row r="41">
      <c r="A41" s="8" t="inlineStr">
        <is>
          <t>Quantum Capital Edge</t>
        </is>
      </c>
      <c r="B41" s="9" t="inlineStr">
        <is>
          <t>Retail</t>
        </is>
      </c>
      <c r="C41" s="9" t="inlineStr">
        <is>
          <t>Latin America</t>
        </is>
      </c>
      <c r="D41" s="9" t="n">
        <v>19</v>
      </c>
      <c r="E41" s="9" t="n">
        <v>53</v>
      </c>
      <c r="F41" s="10" t="n">
        <v>165141622</v>
      </c>
      <c r="G41" s="9" t="inlineStr">
        <is>
          <t>contact@quantumcapitaledge.com</t>
        </is>
      </c>
      <c r="H41" s="10" t="n">
        <v>701701</v>
      </c>
    </row>
    <row r="42">
      <c r="A42" s="5" t="inlineStr">
        <is>
          <t>Meridian Industries Nova</t>
        </is>
      </c>
      <c r="B42" s="6" t="inlineStr">
        <is>
          <t>Logistics</t>
        </is>
      </c>
      <c r="C42" s="6" t="inlineStr">
        <is>
          <t>Europe</t>
        </is>
      </c>
      <c r="D42" s="6" t="n">
        <v>18</v>
      </c>
      <c r="E42" s="6" t="n">
        <v>3926</v>
      </c>
      <c r="F42" s="7" t="n">
        <v>428133446</v>
      </c>
      <c r="G42" s="6" t="inlineStr">
        <is>
          <t>contact@meridianindustriesnova.com</t>
        </is>
      </c>
      <c r="H42" s="7" t="n">
        <v>1989913</v>
      </c>
    </row>
    <row r="43">
      <c r="A43" s="8" t="inlineStr">
        <is>
          <t>Summit Capital Prime</t>
        </is>
      </c>
      <c r="B43" s="9" t="inlineStr">
        <is>
          <t>Healthcare</t>
        </is>
      </c>
      <c r="C43" s="9" t="inlineStr">
        <is>
          <t>Europe</t>
        </is>
      </c>
      <c r="D43" s="9" t="n">
        <v>23</v>
      </c>
      <c r="E43" s="9" t="n">
        <v>2592</v>
      </c>
      <c r="F43" s="10" t="n">
        <v>122603039</v>
      </c>
      <c r="G43" s="9" t="inlineStr">
        <is>
          <t>contact@summitcapitalprime.com</t>
        </is>
      </c>
      <c r="H43" s="10" t="n">
        <v>1791484</v>
      </c>
    </row>
    <row r="44">
      <c r="A44" s="5" t="inlineStr">
        <is>
          <t>Zenith Industries Edge</t>
        </is>
      </c>
      <c r="B44" s="6" t="inlineStr">
        <is>
          <t>Healthcare</t>
        </is>
      </c>
      <c r="C44" s="6" t="inlineStr">
        <is>
          <t>Latin America</t>
        </is>
      </c>
      <c r="D44" s="6" t="n">
        <v>15</v>
      </c>
      <c r="E44" s="6" t="n">
        <v>4765</v>
      </c>
      <c r="F44" s="7" t="n">
        <v>106386621</v>
      </c>
      <c r="G44" s="6" t="inlineStr">
        <is>
          <t>contact@zenithindustriesedge.com</t>
        </is>
      </c>
      <c r="H44" s="7" t="n">
        <v>1606480</v>
      </c>
    </row>
    <row r="45">
      <c r="A45" s="8" t="inlineStr">
        <is>
          <t>Synergy Solutions Beta</t>
        </is>
      </c>
      <c r="B45" s="9" t="inlineStr">
        <is>
          <t>Telecom</t>
        </is>
      </c>
      <c r="C45" s="9" t="inlineStr">
        <is>
          <t>Europe</t>
        </is>
      </c>
      <c r="D45" s="9" t="n">
        <v>7</v>
      </c>
      <c r="E45" s="9" t="n">
        <v>4293</v>
      </c>
      <c r="F45" s="10" t="n">
        <v>251403322</v>
      </c>
      <c r="G45" s="9" t="inlineStr">
        <is>
          <t>contact@synergysolutionsbeta.com</t>
        </is>
      </c>
      <c r="H45" s="10" t="n">
        <v>205315</v>
      </c>
    </row>
    <row r="46">
      <c r="A46" s="5" t="inlineStr">
        <is>
          <t>Synergy Industries Pro</t>
        </is>
      </c>
      <c r="B46" s="6" t="inlineStr">
        <is>
          <t>Energy</t>
        </is>
      </c>
      <c r="C46" s="6" t="inlineStr">
        <is>
          <t>Latin America</t>
        </is>
      </c>
      <c r="D46" s="6" t="n">
        <v>21</v>
      </c>
      <c r="E46" s="6" t="n">
        <v>4185</v>
      </c>
      <c r="F46" s="7" t="n">
        <v>231104699</v>
      </c>
      <c r="G46" s="6" t="inlineStr">
        <is>
          <t>contact@synergyindustriespro.com</t>
        </is>
      </c>
      <c r="H46" s="7" t="n">
        <v>1841829</v>
      </c>
    </row>
    <row r="47">
      <c r="A47" s="8" t="inlineStr">
        <is>
          <t>Titan Enterprises Delta</t>
        </is>
      </c>
      <c r="B47" s="9" t="inlineStr">
        <is>
          <t>Retail</t>
        </is>
      </c>
      <c r="C47" s="9" t="inlineStr">
        <is>
          <t>Middle East &amp; Africa</t>
        </is>
      </c>
      <c r="D47" s="9" t="n">
        <v>17</v>
      </c>
      <c r="E47" s="9" t="n">
        <v>2009</v>
      </c>
      <c r="F47" s="10" t="n">
        <v>149423381</v>
      </c>
      <c r="G47" s="9" t="inlineStr">
        <is>
          <t>contact@titanenterprisesdelta.com</t>
        </is>
      </c>
      <c r="H47" s="10" t="n">
        <v>1022479</v>
      </c>
    </row>
    <row r="48">
      <c r="A48" s="5" t="inlineStr">
        <is>
          <t>Horizon Technologies Prime</t>
        </is>
      </c>
      <c r="B48" s="6" t="inlineStr">
        <is>
          <t>Healthcare</t>
        </is>
      </c>
      <c r="C48" s="6" t="inlineStr">
        <is>
          <t>Europe</t>
        </is>
      </c>
      <c r="D48" s="6" t="n">
        <v>6</v>
      </c>
      <c r="E48" s="6" t="n">
        <v>1944</v>
      </c>
      <c r="F48" s="7" t="n">
        <v>207640506</v>
      </c>
      <c r="G48" s="6" t="inlineStr">
        <is>
          <t>contact@horizontechnologiesprime.com</t>
        </is>
      </c>
      <c r="H48" s="7" t="n">
        <v>1555318</v>
      </c>
    </row>
    <row r="49">
      <c r="A49" s="8" t="inlineStr">
        <is>
          <t>Cobalt Partners Prime</t>
        </is>
      </c>
      <c r="B49" s="9" t="inlineStr">
        <is>
          <t>Logistics</t>
        </is>
      </c>
      <c r="C49" s="9" t="inlineStr">
        <is>
          <t>Latin America</t>
        </is>
      </c>
      <c r="D49" s="9" t="n">
        <v>3</v>
      </c>
      <c r="E49" s="9" t="n">
        <v>1744</v>
      </c>
      <c r="F49" s="10" t="n">
        <v>449155041</v>
      </c>
      <c r="G49" s="9" t="inlineStr">
        <is>
          <t>contact@cobaltpartnersprime.com</t>
        </is>
      </c>
      <c r="H49" s="10" t="n">
        <v>981104</v>
      </c>
    </row>
    <row r="50">
      <c r="A50" s="5" t="inlineStr">
        <is>
          <t>Atlas Industries Alpha</t>
        </is>
      </c>
      <c r="B50" s="6" t="inlineStr">
        <is>
          <t>Energy</t>
        </is>
      </c>
      <c r="C50" s="6" t="inlineStr">
        <is>
          <t>Asia Pacific</t>
        </is>
      </c>
      <c r="D50" s="6" t="n">
        <v>14</v>
      </c>
      <c r="E50" s="6" t="n">
        <v>3482</v>
      </c>
      <c r="F50" s="7" t="n">
        <v>290954965</v>
      </c>
      <c r="G50" s="6" t="inlineStr">
        <is>
          <t>contact@atlasindustriesalpha.com</t>
        </is>
      </c>
      <c r="H50" s="7" t="n">
        <v>1667653</v>
      </c>
    </row>
    <row r="51">
      <c r="A51" s="8" t="inlineStr">
        <is>
          <t>Zenith Enterprises Core</t>
        </is>
      </c>
      <c r="B51" s="9" t="inlineStr">
        <is>
          <t>Logistics</t>
        </is>
      </c>
      <c r="C51" s="9" t="inlineStr">
        <is>
          <t>North America</t>
        </is>
      </c>
      <c r="D51" s="9" t="n">
        <v>14</v>
      </c>
      <c r="E51" s="9" t="n">
        <v>2803</v>
      </c>
      <c r="F51" s="10" t="n">
        <v>361098790</v>
      </c>
      <c r="G51" s="9" t="inlineStr">
        <is>
          <t>contact@zenithenterprisescore.com</t>
        </is>
      </c>
      <c r="H51" s="10" t="n">
        <v>1524263</v>
      </c>
    </row>
    <row r="52">
      <c r="A52" s="5" t="inlineStr">
        <is>
          <t>Orion Dynamics Alpha</t>
        </is>
      </c>
      <c r="B52" s="6" t="inlineStr">
        <is>
          <t>Telecom</t>
        </is>
      </c>
      <c r="C52" s="6" t="inlineStr">
        <is>
          <t>Middle East &amp; Africa</t>
        </is>
      </c>
      <c r="D52" s="6" t="n">
        <v>20</v>
      </c>
      <c r="E52" s="6" t="n">
        <v>272</v>
      </c>
      <c r="F52" s="7" t="n">
        <v>47068948</v>
      </c>
      <c r="G52" s="6" t="inlineStr">
        <is>
          <t>contact@oriondynamicsalpha.com</t>
        </is>
      </c>
      <c r="H52" s="7" t="n">
        <v>1447943</v>
      </c>
    </row>
    <row r="53">
      <c r="A53" s="8" t="inlineStr">
        <is>
          <t>Apex Enterprises Core</t>
        </is>
      </c>
      <c r="B53" s="9" t="inlineStr">
        <is>
          <t>Energy</t>
        </is>
      </c>
      <c r="C53" s="9" t="inlineStr">
        <is>
          <t>Europe</t>
        </is>
      </c>
      <c r="D53" s="9" t="n">
        <v>16</v>
      </c>
      <c r="E53" s="9" t="n">
        <v>2727</v>
      </c>
      <c r="F53" s="10" t="n">
        <v>183194227</v>
      </c>
      <c r="G53" s="9" t="inlineStr">
        <is>
          <t>contact@apexenterprisescore.com</t>
        </is>
      </c>
      <c r="H53" s="10" t="n">
        <v>1696414</v>
      </c>
    </row>
    <row r="54">
      <c r="A54" s="5" t="inlineStr">
        <is>
          <t>Prime Industries Alpha</t>
        </is>
      </c>
      <c r="B54" s="6" t="inlineStr">
        <is>
          <t>Technology</t>
        </is>
      </c>
      <c r="C54" s="6" t="inlineStr">
        <is>
          <t>Asia Pacific</t>
        </is>
      </c>
      <c r="D54" s="6" t="n">
        <v>9</v>
      </c>
      <c r="E54" s="6" t="n">
        <v>612</v>
      </c>
      <c r="F54" s="7" t="n">
        <v>421421299</v>
      </c>
      <c r="G54" s="6" t="inlineStr">
        <is>
          <t>contact@primeindustriesalpha.com</t>
        </is>
      </c>
      <c r="H54" s="7" t="n">
        <v>1466828</v>
      </c>
    </row>
    <row r="55">
      <c r="A55" s="8" t="inlineStr">
        <is>
          <t>Global Capital Gamma</t>
        </is>
      </c>
      <c r="B55" s="9" t="inlineStr">
        <is>
          <t>Manufacturing</t>
        </is>
      </c>
      <c r="C55" s="9" t="inlineStr">
        <is>
          <t>Europe</t>
        </is>
      </c>
      <c r="D55" s="9" t="n">
        <v>17</v>
      </c>
      <c r="E55" s="9" t="n">
        <v>987</v>
      </c>
      <c r="F55" s="10" t="n">
        <v>304778860</v>
      </c>
      <c r="G55" s="9" t="inlineStr">
        <is>
          <t>contact@globalcapitalgamma.com</t>
        </is>
      </c>
      <c r="H55" s="10" t="n">
        <v>557104</v>
      </c>
    </row>
    <row r="56">
      <c r="A56" s="5" t="inlineStr">
        <is>
          <t>Nexus Group Omega</t>
        </is>
      </c>
      <c r="B56" s="6" t="inlineStr">
        <is>
          <t>Healthcare</t>
        </is>
      </c>
      <c r="C56" s="6" t="inlineStr">
        <is>
          <t>Middle East &amp; Africa</t>
        </is>
      </c>
      <c r="D56" s="6" t="n">
        <v>2</v>
      </c>
      <c r="E56" s="6" t="n">
        <v>2605</v>
      </c>
      <c r="F56" s="7" t="n">
        <v>311128512</v>
      </c>
      <c r="G56" s="6" t="inlineStr">
        <is>
          <t>contact@nexusgroupomega.com</t>
        </is>
      </c>
      <c r="H56" s="7" t="n">
        <v>1520500</v>
      </c>
    </row>
    <row r="57">
      <c r="A57" s="8" t="inlineStr">
        <is>
          <t>Vector Corp Beta</t>
        </is>
      </c>
      <c r="B57" s="9" t="inlineStr">
        <is>
          <t>Retail</t>
        </is>
      </c>
      <c r="C57" s="9" t="inlineStr">
        <is>
          <t>Middle East &amp; Africa</t>
        </is>
      </c>
      <c r="D57" s="9" t="n">
        <v>5</v>
      </c>
      <c r="E57" s="9" t="n">
        <v>4686</v>
      </c>
      <c r="F57" s="10" t="n">
        <v>422174152</v>
      </c>
      <c r="G57" s="9" t="inlineStr">
        <is>
          <t>contact@vectorcorpbeta.com</t>
        </is>
      </c>
      <c r="H57" s="10" t="n">
        <v>186128</v>
      </c>
    </row>
    <row r="58">
      <c r="A58" s="5" t="inlineStr">
        <is>
          <t>Prime Dynamics Prime</t>
        </is>
      </c>
      <c r="B58" s="6" t="inlineStr">
        <is>
          <t>Technology</t>
        </is>
      </c>
      <c r="C58" s="6" t="inlineStr">
        <is>
          <t>Latin America</t>
        </is>
      </c>
      <c r="D58" s="6" t="n">
        <v>17</v>
      </c>
      <c r="E58" s="6" t="n">
        <v>914</v>
      </c>
      <c r="F58" s="7" t="n">
        <v>234746102</v>
      </c>
      <c r="G58" s="6" t="inlineStr">
        <is>
          <t>contact@primedynamicsprime.com</t>
        </is>
      </c>
      <c r="H58" s="7" t="n">
        <v>859563</v>
      </c>
    </row>
    <row r="59">
      <c r="A59" s="8" t="inlineStr">
        <is>
          <t>Quantum Dynamics Omega</t>
        </is>
      </c>
      <c r="B59" s="9" t="inlineStr">
        <is>
          <t>Logistics</t>
        </is>
      </c>
      <c r="C59" s="9" t="inlineStr">
        <is>
          <t>Latin America</t>
        </is>
      </c>
      <c r="D59" s="9" t="n">
        <v>15</v>
      </c>
      <c r="E59" s="9" t="n">
        <v>4903</v>
      </c>
      <c r="F59" s="10" t="n">
        <v>146093758</v>
      </c>
      <c r="G59" s="9" t="inlineStr">
        <is>
          <t>contact@quantumdynamicsomega.com</t>
        </is>
      </c>
      <c r="H59" s="10" t="n">
        <v>775921</v>
      </c>
    </row>
    <row r="60">
      <c r="A60" s="5" t="inlineStr">
        <is>
          <t>Orion Partners Prime</t>
        </is>
      </c>
      <c r="B60" s="6" t="inlineStr">
        <is>
          <t>Technology</t>
        </is>
      </c>
      <c r="C60" s="6" t="inlineStr">
        <is>
          <t>Latin America</t>
        </is>
      </c>
      <c r="D60" s="6" t="n">
        <v>12</v>
      </c>
      <c r="E60" s="6" t="n">
        <v>1539</v>
      </c>
      <c r="F60" s="7" t="n">
        <v>263751379</v>
      </c>
      <c r="G60" s="6" t="inlineStr">
        <is>
          <t>contact@orionpartnersprime.com</t>
        </is>
      </c>
      <c r="H60" s="7" t="n">
        <v>544847</v>
      </c>
    </row>
    <row r="61">
      <c r="A61" s="8" t="inlineStr">
        <is>
          <t>Orion Enterprises Pro</t>
        </is>
      </c>
      <c r="B61" s="9" t="inlineStr">
        <is>
          <t>Technology</t>
        </is>
      </c>
      <c r="C61" s="9" t="inlineStr">
        <is>
          <t>Middle East &amp; Africa</t>
        </is>
      </c>
      <c r="D61" s="9" t="n">
        <v>8</v>
      </c>
      <c r="E61" s="9" t="n">
        <v>751</v>
      </c>
      <c r="F61" s="10" t="n">
        <v>131577042</v>
      </c>
      <c r="G61" s="9" t="inlineStr">
        <is>
          <t>contact@orionenterprisespro.com</t>
        </is>
      </c>
      <c r="H61" s="10" t="n">
        <v>1610106</v>
      </c>
    </row>
    <row r="62">
      <c r="A62" s="5" t="inlineStr">
        <is>
          <t>Crest Industries Nova</t>
        </is>
      </c>
      <c r="B62" s="6" t="inlineStr">
        <is>
          <t>Technology</t>
        </is>
      </c>
      <c r="C62" s="6" t="inlineStr">
        <is>
          <t>North America</t>
        </is>
      </c>
      <c r="D62" s="6" t="n">
        <v>11</v>
      </c>
      <c r="E62" s="6" t="n">
        <v>1865</v>
      </c>
      <c r="F62" s="7" t="n">
        <v>219111200</v>
      </c>
      <c r="G62" s="6" t="inlineStr">
        <is>
          <t>contact@crestindustriesnova.com</t>
        </is>
      </c>
      <c r="H62" s="7" t="n">
        <v>1550782</v>
      </c>
    </row>
    <row r="63">
      <c r="A63" s="8" t="inlineStr">
        <is>
          <t>Sterling Industries Pro</t>
        </is>
      </c>
      <c r="B63" s="9" t="inlineStr">
        <is>
          <t>Energy</t>
        </is>
      </c>
      <c r="C63" s="9" t="inlineStr">
        <is>
          <t>Latin America</t>
        </is>
      </c>
      <c r="D63" s="9" t="n">
        <v>25</v>
      </c>
      <c r="E63" s="9" t="n">
        <v>4558</v>
      </c>
      <c r="F63" s="10" t="n">
        <v>179592227</v>
      </c>
      <c r="G63" s="9" t="inlineStr">
        <is>
          <t>contact@sterlingindustriespro.com</t>
        </is>
      </c>
      <c r="H63" s="10" t="n">
        <v>837800</v>
      </c>
    </row>
    <row r="64">
      <c r="A64" s="5" t="inlineStr">
        <is>
          <t>Zenith Systems Delta</t>
        </is>
      </c>
      <c r="B64" s="6" t="inlineStr">
        <is>
          <t>Energy</t>
        </is>
      </c>
      <c r="C64" s="6" t="inlineStr">
        <is>
          <t>North America</t>
        </is>
      </c>
      <c r="D64" s="6" t="n">
        <v>25</v>
      </c>
      <c r="E64" s="6" t="n">
        <v>4439</v>
      </c>
      <c r="F64" s="7" t="n">
        <v>411197431</v>
      </c>
      <c r="G64" s="6" t="inlineStr">
        <is>
          <t>contact@zenithsystemsdelta.com</t>
        </is>
      </c>
      <c r="H64" s="7" t="n">
        <v>1547377</v>
      </c>
    </row>
    <row r="65">
      <c r="A65" s="8" t="inlineStr">
        <is>
          <t>Horizon Capital Pro</t>
        </is>
      </c>
      <c r="B65" s="9" t="inlineStr">
        <is>
          <t>Retail</t>
        </is>
      </c>
      <c r="C65" s="9" t="inlineStr">
        <is>
          <t>North America</t>
        </is>
      </c>
      <c r="D65" s="9" t="n">
        <v>8</v>
      </c>
      <c r="E65" s="9" t="n">
        <v>2476</v>
      </c>
      <c r="F65" s="10" t="n">
        <v>124129095</v>
      </c>
      <c r="G65" s="9" t="inlineStr">
        <is>
          <t>contact@horizoncapitalpro.com</t>
        </is>
      </c>
      <c r="H65" s="10" t="n">
        <v>856822</v>
      </c>
    </row>
    <row r="66">
      <c r="A66" s="5" t="inlineStr">
        <is>
          <t>Synergy Enterprises Alpha</t>
        </is>
      </c>
      <c r="B66" s="6" t="inlineStr">
        <is>
          <t>Technology</t>
        </is>
      </c>
      <c r="C66" s="6" t="inlineStr">
        <is>
          <t>Middle East &amp; Africa</t>
        </is>
      </c>
      <c r="D66" s="6" t="n">
        <v>11</v>
      </c>
      <c r="E66" s="6" t="n">
        <v>1084</v>
      </c>
      <c r="F66" s="7" t="n">
        <v>344453662</v>
      </c>
      <c r="G66" s="6" t="inlineStr">
        <is>
          <t>contact@synergyenterprisesalpha.com</t>
        </is>
      </c>
      <c r="H66" s="7" t="n">
        <v>1921295</v>
      </c>
    </row>
    <row r="67">
      <c r="A67" s="8" t="inlineStr">
        <is>
          <t>Pinnacle Industries Nova</t>
        </is>
      </c>
      <c r="B67" s="9" t="inlineStr">
        <is>
          <t>Logistics</t>
        </is>
      </c>
      <c r="C67" s="9" t="inlineStr">
        <is>
          <t>Asia Pacific</t>
        </is>
      </c>
      <c r="D67" s="9" t="n">
        <v>7</v>
      </c>
      <c r="E67" s="9" t="n">
        <v>470</v>
      </c>
      <c r="F67" s="10" t="n">
        <v>137548300</v>
      </c>
      <c r="G67" s="9" t="inlineStr">
        <is>
          <t>contact@pinnacleindustriesnova.com</t>
        </is>
      </c>
      <c r="H67" s="10" t="n">
        <v>1907164</v>
      </c>
    </row>
    <row r="68">
      <c r="A68" s="5" t="inlineStr">
        <is>
          <t>Crest Systems Edge</t>
        </is>
      </c>
      <c r="B68" s="6" t="inlineStr">
        <is>
          <t>Technology</t>
        </is>
      </c>
      <c r="C68" s="6" t="inlineStr">
        <is>
          <t>Europe</t>
        </is>
      </c>
      <c r="D68" s="6" t="n">
        <v>6</v>
      </c>
      <c r="E68" s="6" t="n">
        <v>4660</v>
      </c>
      <c r="F68" s="7" t="n">
        <v>165120451</v>
      </c>
      <c r="G68" s="6" t="inlineStr">
        <is>
          <t>contact@crestsystemsedge.com</t>
        </is>
      </c>
      <c r="H68" s="7" t="n">
        <v>278637</v>
      </c>
    </row>
    <row r="69">
      <c r="A69" s="8" t="inlineStr">
        <is>
          <t>Orion Capital Edge</t>
        </is>
      </c>
      <c r="B69" s="9" t="inlineStr">
        <is>
          <t>Manufacturing</t>
        </is>
      </c>
      <c r="C69" s="9" t="inlineStr">
        <is>
          <t>Middle East &amp; Africa</t>
        </is>
      </c>
      <c r="D69" s="9" t="n">
        <v>14</v>
      </c>
      <c r="E69" s="9" t="n">
        <v>3740</v>
      </c>
      <c r="F69" s="10" t="n">
        <v>489749575</v>
      </c>
      <c r="G69" s="9" t="inlineStr">
        <is>
          <t>contact@orioncapitaledge.com</t>
        </is>
      </c>
      <c r="H69" s="10" t="n">
        <v>1028453</v>
      </c>
    </row>
    <row r="70">
      <c r="A70" s="5" t="inlineStr">
        <is>
          <t>Vector Capital Alpha</t>
        </is>
      </c>
      <c r="B70" s="6" t="inlineStr">
        <is>
          <t>Healthcare</t>
        </is>
      </c>
      <c r="C70" s="6" t="inlineStr">
        <is>
          <t>Europe</t>
        </is>
      </c>
      <c r="D70" s="6" t="n">
        <v>22</v>
      </c>
      <c r="E70" s="6" t="n">
        <v>1778</v>
      </c>
      <c r="F70" s="7" t="n">
        <v>144080806</v>
      </c>
      <c r="G70" s="6" t="inlineStr">
        <is>
          <t>contact@vectorcapitalalpha.com</t>
        </is>
      </c>
      <c r="H70" s="7" t="n">
        <v>1485018</v>
      </c>
    </row>
    <row r="71">
      <c r="A71" s="8" t="inlineStr">
        <is>
          <t>Forge Systems Gamma</t>
        </is>
      </c>
      <c r="B71" s="9" t="inlineStr">
        <is>
          <t>Technology</t>
        </is>
      </c>
      <c r="C71" s="9" t="inlineStr">
        <is>
          <t>Latin America</t>
        </is>
      </c>
      <c r="D71" s="9" t="n">
        <v>16</v>
      </c>
      <c r="E71" s="9" t="n">
        <v>4914</v>
      </c>
      <c r="F71" s="10" t="n">
        <v>254282341</v>
      </c>
      <c r="G71" s="9" t="inlineStr">
        <is>
          <t>contact@forgesystemsgamma.com</t>
        </is>
      </c>
      <c r="H71" s="10" t="n">
        <v>710815</v>
      </c>
    </row>
    <row r="72">
      <c r="A72" s="5" t="inlineStr">
        <is>
          <t>Titan Systems Delta</t>
        </is>
      </c>
      <c r="B72" s="6" t="inlineStr">
        <is>
          <t>Retail</t>
        </is>
      </c>
      <c r="C72" s="6" t="inlineStr">
        <is>
          <t>Middle East &amp; Africa</t>
        </is>
      </c>
      <c r="D72" s="6" t="n">
        <v>23</v>
      </c>
      <c r="E72" s="6" t="n">
        <v>1670</v>
      </c>
      <c r="F72" s="7" t="n">
        <v>230244747</v>
      </c>
      <c r="G72" s="6" t="inlineStr">
        <is>
          <t>contact@titansystemsdelta.com</t>
        </is>
      </c>
      <c r="H72" s="7" t="n">
        <v>340703</v>
      </c>
    </row>
    <row r="73">
      <c r="A73" s="8" t="inlineStr">
        <is>
          <t>Horizon Group Beta</t>
        </is>
      </c>
      <c r="B73" s="9" t="inlineStr">
        <is>
          <t>Technology</t>
        </is>
      </c>
      <c r="C73" s="9" t="inlineStr">
        <is>
          <t>Europe</t>
        </is>
      </c>
      <c r="D73" s="9" t="n">
        <v>11</v>
      </c>
      <c r="E73" s="9" t="n">
        <v>4924</v>
      </c>
      <c r="F73" s="10" t="n">
        <v>404093615</v>
      </c>
      <c r="G73" s="9" t="inlineStr">
        <is>
          <t>contact@horizongroupbeta.com</t>
        </is>
      </c>
      <c r="H73" s="10" t="n">
        <v>1828557</v>
      </c>
    </row>
    <row r="74">
      <c r="A74" s="5" t="inlineStr">
        <is>
          <t>Titan Enterprises Core</t>
        </is>
      </c>
      <c r="B74" s="6" t="inlineStr">
        <is>
          <t>Retail</t>
        </is>
      </c>
      <c r="C74" s="6" t="inlineStr">
        <is>
          <t>Middle East &amp; Africa</t>
        </is>
      </c>
      <c r="D74" s="6" t="n">
        <v>19</v>
      </c>
      <c r="E74" s="6" t="n">
        <v>4095</v>
      </c>
      <c r="F74" s="7" t="n">
        <v>237020003</v>
      </c>
      <c r="G74" s="6" t="inlineStr">
        <is>
          <t>contact@titanenterprisescore.com</t>
        </is>
      </c>
      <c r="H74" s="7" t="n">
        <v>268698</v>
      </c>
    </row>
    <row r="75">
      <c r="A75" s="8" t="inlineStr">
        <is>
          <t>Orion Enterprises Alpha</t>
        </is>
      </c>
      <c r="B75" s="9" t="inlineStr">
        <is>
          <t>Healthcare</t>
        </is>
      </c>
      <c r="C75" s="9" t="inlineStr">
        <is>
          <t>Europe</t>
        </is>
      </c>
      <c r="D75" s="9" t="n">
        <v>23</v>
      </c>
      <c r="E75" s="9" t="n">
        <v>4762</v>
      </c>
      <c r="F75" s="10" t="n">
        <v>317209223</v>
      </c>
      <c r="G75" s="9" t="inlineStr">
        <is>
          <t>contact@orionenterprisesalpha.com</t>
        </is>
      </c>
      <c r="H75" s="10" t="n">
        <v>143506</v>
      </c>
    </row>
    <row r="76">
      <c r="A76" s="5" t="inlineStr">
        <is>
          <t>Crest Dynamics Nova</t>
        </is>
      </c>
      <c r="B76" s="6" t="inlineStr">
        <is>
          <t>Retail</t>
        </is>
      </c>
      <c r="C76" s="6" t="inlineStr">
        <is>
          <t>Europe</t>
        </is>
      </c>
      <c r="D76" s="6" t="n">
        <v>20</v>
      </c>
      <c r="E76" s="6" t="n">
        <v>3620</v>
      </c>
      <c r="F76" s="7" t="n">
        <v>342797448</v>
      </c>
      <c r="G76" s="6" t="inlineStr">
        <is>
          <t>contact@crestdynamicsnova.com</t>
        </is>
      </c>
      <c r="H76" s="7" t="n">
        <v>1807595</v>
      </c>
    </row>
    <row r="77">
      <c r="A77" s="8" t="inlineStr">
        <is>
          <t>Nexus Group Prime</t>
        </is>
      </c>
      <c r="B77" s="9" t="inlineStr">
        <is>
          <t>Telecom</t>
        </is>
      </c>
      <c r="C77" s="9" t="inlineStr">
        <is>
          <t>Latin America</t>
        </is>
      </c>
      <c r="D77" s="9" t="n">
        <v>11</v>
      </c>
      <c r="E77" s="9" t="n">
        <v>3330</v>
      </c>
      <c r="F77" s="10" t="n">
        <v>438779939</v>
      </c>
      <c r="G77" s="9" t="inlineStr">
        <is>
          <t>contact@nexusgroupprime.com</t>
        </is>
      </c>
      <c r="H77" s="10" t="n">
        <v>1694883</v>
      </c>
    </row>
    <row r="78">
      <c r="A78" s="5" t="inlineStr">
        <is>
          <t>Meridian Enterprises Prime</t>
        </is>
      </c>
      <c r="B78" s="6" t="inlineStr">
        <is>
          <t>Healthcare</t>
        </is>
      </c>
      <c r="C78" s="6" t="inlineStr">
        <is>
          <t>Latin America</t>
        </is>
      </c>
      <c r="D78" s="6" t="n">
        <v>18</v>
      </c>
      <c r="E78" s="6" t="n">
        <v>59</v>
      </c>
      <c r="F78" s="7" t="n">
        <v>355078729</v>
      </c>
      <c r="G78" s="6" t="inlineStr">
        <is>
          <t>contact@meridianenterprisesprime.com</t>
        </is>
      </c>
      <c r="H78" s="7" t="n">
        <v>1923195</v>
      </c>
    </row>
    <row r="79">
      <c r="A79" s="8" t="inlineStr">
        <is>
          <t>Vanguard Dynamics Prime</t>
        </is>
      </c>
      <c r="B79" s="9" t="inlineStr">
        <is>
          <t>Logistics</t>
        </is>
      </c>
      <c r="C79" s="9" t="inlineStr">
        <is>
          <t>Latin America</t>
        </is>
      </c>
      <c r="D79" s="9" t="n">
        <v>3</v>
      </c>
      <c r="E79" s="9" t="n">
        <v>1717</v>
      </c>
      <c r="F79" s="10" t="n">
        <v>145374727</v>
      </c>
      <c r="G79" s="9" t="inlineStr">
        <is>
          <t>contact@vanguarddynamicsprime.com</t>
        </is>
      </c>
      <c r="H79" s="10" t="n">
        <v>1251797</v>
      </c>
    </row>
    <row r="80">
      <c r="A80" s="5" t="inlineStr">
        <is>
          <t>Nexus Solutions Edge</t>
        </is>
      </c>
      <c r="B80" s="6" t="inlineStr">
        <is>
          <t>Manufacturing</t>
        </is>
      </c>
      <c r="C80" s="6" t="inlineStr">
        <is>
          <t>Europe</t>
        </is>
      </c>
      <c r="D80" s="6" t="n">
        <v>11</v>
      </c>
      <c r="E80" s="6" t="n">
        <v>4562</v>
      </c>
      <c r="F80" s="7" t="n">
        <v>9341422</v>
      </c>
      <c r="G80" s="6" t="inlineStr">
        <is>
          <t>contact@nexussolutionsedge.com</t>
        </is>
      </c>
      <c r="H80" s="7" t="n">
        <v>1258155</v>
      </c>
    </row>
    <row r="81">
      <c r="A81" s="8" t="inlineStr">
        <is>
          <t>Titan Systems Gamma</t>
        </is>
      </c>
      <c r="B81" s="9" t="inlineStr">
        <is>
          <t>Logistics</t>
        </is>
      </c>
      <c r="C81" s="9" t="inlineStr">
        <is>
          <t>Asia Pacific</t>
        </is>
      </c>
      <c r="D81" s="9" t="n">
        <v>18</v>
      </c>
      <c r="E81" s="9" t="n">
        <v>2289</v>
      </c>
      <c r="F81" s="10" t="n">
        <v>225064677</v>
      </c>
      <c r="G81" s="9" t="inlineStr">
        <is>
          <t>contact@titansystemsgamma.com</t>
        </is>
      </c>
      <c r="H81" s="10" t="n">
        <v>1850542</v>
      </c>
    </row>
    <row r="82">
      <c r="A82" s="5" t="inlineStr">
        <is>
          <t>Forge Group Core</t>
        </is>
      </c>
      <c r="B82" s="6" t="inlineStr">
        <is>
          <t>Manufacturing</t>
        </is>
      </c>
      <c r="C82" s="6" t="inlineStr">
        <is>
          <t>Middle East &amp; Africa</t>
        </is>
      </c>
      <c r="D82" s="6" t="n">
        <v>18</v>
      </c>
      <c r="E82" s="6" t="n">
        <v>1168</v>
      </c>
      <c r="F82" s="7" t="n">
        <v>465870929</v>
      </c>
      <c r="G82" s="6" t="inlineStr">
        <is>
          <t>contact@forgegroupcore.com</t>
        </is>
      </c>
      <c r="H82" s="7" t="n">
        <v>246402</v>
      </c>
    </row>
    <row r="83">
      <c r="A83" s="8" t="inlineStr">
        <is>
          <t>Horizon Solutions Omega</t>
        </is>
      </c>
      <c r="B83" s="9" t="inlineStr">
        <is>
          <t>Retail</t>
        </is>
      </c>
      <c r="C83" s="9" t="inlineStr">
        <is>
          <t>Middle East &amp; Africa</t>
        </is>
      </c>
      <c r="D83" s="9" t="n">
        <v>20</v>
      </c>
      <c r="E83" s="9" t="n">
        <v>4061</v>
      </c>
      <c r="F83" s="10" t="n">
        <v>466533246</v>
      </c>
      <c r="G83" s="9" t="inlineStr">
        <is>
          <t>contact@horizonsolutionsomega.com</t>
        </is>
      </c>
      <c r="H83" s="10" t="n">
        <v>411627</v>
      </c>
    </row>
    <row r="84">
      <c r="A84" s="5" t="inlineStr">
        <is>
          <t>Meridian Dynamics Pro</t>
        </is>
      </c>
      <c r="B84" s="6" t="inlineStr">
        <is>
          <t>Telecom</t>
        </is>
      </c>
      <c r="C84" s="6" t="inlineStr">
        <is>
          <t>Latin America</t>
        </is>
      </c>
      <c r="D84" s="6" t="n">
        <v>12</v>
      </c>
      <c r="E84" s="6" t="n">
        <v>1595</v>
      </c>
      <c r="F84" s="7" t="n">
        <v>376466619</v>
      </c>
      <c r="G84" s="6" t="inlineStr">
        <is>
          <t>contact@meridiandynamicspro.com</t>
        </is>
      </c>
      <c r="H84" s="7" t="n">
        <v>600811</v>
      </c>
    </row>
    <row r="85">
      <c r="A85" s="8" t="inlineStr">
        <is>
          <t>Apex Technologies Nova</t>
        </is>
      </c>
      <c r="B85" s="9" t="inlineStr">
        <is>
          <t>Telecom</t>
        </is>
      </c>
      <c r="C85" s="9" t="inlineStr">
        <is>
          <t>Latin America</t>
        </is>
      </c>
      <c r="D85" s="9" t="n">
        <v>23</v>
      </c>
      <c r="E85" s="9" t="n">
        <v>1296</v>
      </c>
      <c r="F85" s="10" t="n">
        <v>267927541</v>
      </c>
      <c r="G85" s="9" t="inlineStr">
        <is>
          <t>contact@apextechnologiesnova.com</t>
        </is>
      </c>
      <c r="H85" s="10" t="n">
        <v>177635</v>
      </c>
    </row>
    <row r="86">
      <c r="A86" s="5" t="inlineStr">
        <is>
          <t>Nexus Industries Beta</t>
        </is>
      </c>
      <c r="B86" s="6" t="inlineStr">
        <is>
          <t>Logistics</t>
        </is>
      </c>
      <c r="C86" s="6" t="inlineStr">
        <is>
          <t>North America</t>
        </is>
      </c>
      <c r="D86" s="6" t="n">
        <v>25</v>
      </c>
      <c r="E86" s="6" t="n">
        <v>1230</v>
      </c>
      <c r="F86" s="7" t="n">
        <v>222105593</v>
      </c>
      <c r="G86" s="6" t="inlineStr">
        <is>
          <t>contact@nexusindustriesbeta.com</t>
        </is>
      </c>
      <c r="H86" s="7" t="n">
        <v>1926478</v>
      </c>
    </row>
    <row r="87">
      <c r="A87" s="8" t="inlineStr">
        <is>
          <t>Meridian Capital Core</t>
        </is>
      </c>
      <c r="B87" s="9" t="inlineStr">
        <is>
          <t>Healthcare</t>
        </is>
      </c>
      <c r="C87" s="9" t="inlineStr">
        <is>
          <t>Asia Pacific</t>
        </is>
      </c>
      <c r="D87" s="9" t="n">
        <v>23</v>
      </c>
      <c r="E87" s="9" t="n">
        <v>4421</v>
      </c>
      <c r="F87" s="10" t="n">
        <v>206015990</v>
      </c>
      <c r="G87" s="9" t="inlineStr">
        <is>
          <t>contact@meridiancapitalcore.com</t>
        </is>
      </c>
      <c r="H87" s="10" t="n">
        <v>764086</v>
      </c>
    </row>
    <row r="88">
      <c r="A88" s="5" t="inlineStr">
        <is>
          <t>Apex Capital Beta</t>
        </is>
      </c>
      <c r="B88" s="6" t="inlineStr">
        <is>
          <t>Manufacturing</t>
        </is>
      </c>
      <c r="C88" s="6" t="inlineStr">
        <is>
          <t>Asia Pacific</t>
        </is>
      </c>
      <c r="D88" s="6" t="n">
        <v>9</v>
      </c>
      <c r="E88" s="6" t="n">
        <v>790</v>
      </c>
      <c r="F88" s="7" t="n">
        <v>234986657</v>
      </c>
      <c r="G88" s="6" t="inlineStr">
        <is>
          <t>contact@apexcapitalbeta.com</t>
        </is>
      </c>
      <c r="H88" s="7" t="n">
        <v>306450</v>
      </c>
    </row>
    <row r="89">
      <c r="A89" s="8" t="inlineStr">
        <is>
          <t>Quantum Enterprises Alpha</t>
        </is>
      </c>
      <c r="B89" s="9" t="inlineStr">
        <is>
          <t>Technology</t>
        </is>
      </c>
      <c r="C89" s="9" t="inlineStr">
        <is>
          <t>Asia Pacific</t>
        </is>
      </c>
      <c r="D89" s="9" t="n">
        <v>3</v>
      </c>
      <c r="E89" s="9" t="n">
        <v>2453</v>
      </c>
      <c r="F89" s="10" t="n">
        <v>194448542</v>
      </c>
      <c r="G89" s="9" t="inlineStr">
        <is>
          <t>contact@quantumenterprisesalpha.com</t>
        </is>
      </c>
      <c r="H89" s="10" t="n">
        <v>886098</v>
      </c>
    </row>
    <row r="90">
      <c r="A90" s="5" t="inlineStr">
        <is>
          <t>Cobalt Capital Gamma</t>
        </is>
      </c>
      <c r="B90" s="6" t="inlineStr">
        <is>
          <t>Finance</t>
        </is>
      </c>
      <c r="C90" s="6" t="inlineStr">
        <is>
          <t>Europe</t>
        </is>
      </c>
      <c r="D90" s="6" t="n">
        <v>4</v>
      </c>
      <c r="E90" s="6" t="n">
        <v>3183</v>
      </c>
      <c r="F90" s="7" t="n">
        <v>334704469</v>
      </c>
      <c r="G90" s="6" t="inlineStr">
        <is>
          <t>contact@cobaltcapitalgamma.com</t>
        </is>
      </c>
      <c r="H90" s="7" t="n">
        <v>1532637</v>
      </c>
    </row>
    <row r="91">
      <c r="A91" s="8" t="inlineStr">
        <is>
          <t>Zenith Industries Omega</t>
        </is>
      </c>
      <c r="B91" s="9" t="inlineStr">
        <is>
          <t>Logistics</t>
        </is>
      </c>
      <c r="C91" s="9" t="inlineStr">
        <is>
          <t>Asia Pacific</t>
        </is>
      </c>
      <c r="D91" s="9" t="n">
        <v>23</v>
      </c>
      <c r="E91" s="9" t="n">
        <v>126</v>
      </c>
      <c r="F91" s="10" t="n">
        <v>484597842</v>
      </c>
      <c r="G91" s="9" t="inlineStr">
        <is>
          <t>contact@zenithindustriesomega.com</t>
        </is>
      </c>
      <c r="H91" s="10" t="n">
        <v>1787437</v>
      </c>
    </row>
    <row r="92">
      <c r="A92" s="5" t="inlineStr">
        <is>
          <t>Prime Industries Prime</t>
        </is>
      </c>
      <c r="B92" s="6" t="inlineStr">
        <is>
          <t>Retail</t>
        </is>
      </c>
      <c r="C92" s="6" t="inlineStr">
        <is>
          <t>Latin America</t>
        </is>
      </c>
      <c r="D92" s="6" t="n">
        <v>24</v>
      </c>
      <c r="E92" s="6" t="n">
        <v>2098</v>
      </c>
      <c r="F92" s="7" t="n">
        <v>247261856</v>
      </c>
      <c r="G92" s="6" t="inlineStr">
        <is>
          <t>contact@primeindustriesprime.com</t>
        </is>
      </c>
      <c r="H92" s="7" t="n">
        <v>1872730</v>
      </c>
    </row>
    <row r="93">
      <c r="A93" s="8" t="inlineStr">
        <is>
          <t>Nexus Corp Core</t>
        </is>
      </c>
      <c r="B93" s="9" t="inlineStr">
        <is>
          <t>Energy</t>
        </is>
      </c>
      <c r="C93" s="9" t="inlineStr">
        <is>
          <t>Middle East &amp; Africa</t>
        </is>
      </c>
      <c r="D93" s="9" t="n">
        <v>11</v>
      </c>
      <c r="E93" s="9" t="n">
        <v>2468</v>
      </c>
      <c r="F93" s="10" t="n">
        <v>13778731</v>
      </c>
      <c r="G93" s="9" t="inlineStr">
        <is>
          <t>contact@nexuscorpcore.com</t>
        </is>
      </c>
      <c r="H93" s="10" t="n">
        <v>1840714</v>
      </c>
    </row>
    <row r="94">
      <c r="A94" s="5" t="inlineStr">
        <is>
          <t>Pinnacle Corp Edge</t>
        </is>
      </c>
      <c r="B94" s="6" t="inlineStr">
        <is>
          <t>Energy</t>
        </is>
      </c>
      <c r="C94" s="6" t="inlineStr">
        <is>
          <t>Europe</t>
        </is>
      </c>
      <c r="D94" s="6" t="n">
        <v>22</v>
      </c>
      <c r="E94" s="6" t="n">
        <v>1607</v>
      </c>
      <c r="F94" s="7" t="n">
        <v>335338407</v>
      </c>
      <c r="G94" s="6" t="inlineStr">
        <is>
          <t>contact@pinnaclecorpedge.com</t>
        </is>
      </c>
      <c r="H94" s="7" t="n">
        <v>625602</v>
      </c>
    </row>
    <row r="95">
      <c r="A95" s="8" t="inlineStr">
        <is>
          <t>Apex Enterprises Nova</t>
        </is>
      </c>
      <c r="B95" s="9" t="inlineStr">
        <is>
          <t>Technology</t>
        </is>
      </c>
      <c r="C95" s="9" t="inlineStr">
        <is>
          <t>Middle East &amp; Africa</t>
        </is>
      </c>
      <c r="D95" s="9" t="n">
        <v>13</v>
      </c>
      <c r="E95" s="9" t="n">
        <v>1126</v>
      </c>
      <c r="F95" s="10" t="n">
        <v>50389986</v>
      </c>
      <c r="G95" s="9" t="inlineStr">
        <is>
          <t>contact@apexenterprisesnova.com</t>
        </is>
      </c>
      <c r="H95" s="10" t="n">
        <v>718891</v>
      </c>
    </row>
    <row r="96">
      <c r="A96" s="5" t="inlineStr">
        <is>
          <t>Synergy Dynamics Prime</t>
        </is>
      </c>
      <c r="B96" s="6" t="inlineStr">
        <is>
          <t>Retail</t>
        </is>
      </c>
      <c r="C96" s="6" t="inlineStr">
        <is>
          <t>Europe</t>
        </is>
      </c>
      <c r="D96" s="6" t="n">
        <v>10</v>
      </c>
      <c r="E96" s="6" t="n">
        <v>3997</v>
      </c>
      <c r="F96" s="7" t="n">
        <v>434980213</v>
      </c>
      <c r="G96" s="6" t="inlineStr">
        <is>
          <t>contact@synergydynamicsprime.com</t>
        </is>
      </c>
      <c r="H96" s="7" t="n">
        <v>718956</v>
      </c>
    </row>
    <row r="97">
      <c r="A97" s="8" t="inlineStr">
        <is>
          <t>Synergy Corp Core</t>
        </is>
      </c>
      <c r="B97" s="9" t="inlineStr">
        <is>
          <t>Energy</t>
        </is>
      </c>
      <c r="C97" s="9" t="inlineStr">
        <is>
          <t>North America</t>
        </is>
      </c>
      <c r="D97" s="9" t="n">
        <v>14</v>
      </c>
      <c r="E97" s="9" t="n">
        <v>164</v>
      </c>
      <c r="F97" s="10" t="n">
        <v>143980118</v>
      </c>
      <c r="G97" s="9" t="inlineStr">
        <is>
          <t>contact@synergycorpcore.com</t>
        </is>
      </c>
      <c r="H97" s="10" t="n">
        <v>1225273</v>
      </c>
    </row>
    <row r="98">
      <c r="A98" s="5" t="inlineStr">
        <is>
          <t>Vector Partners Prime</t>
        </is>
      </c>
      <c r="B98" s="6" t="inlineStr">
        <is>
          <t>Healthcare</t>
        </is>
      </c>
      <c r="C98" s="6" t="inlineStr">
        <is>
          <t>Europe</t>
        </is>
      </c>
      <c r="D98" s="6" t="n">
        <v>17</v>
      </c>
      <c r="E98" s="6" t="n">
        <v>255</v>
      </c>
      <c r="F98" s="7" t="n">
        <v>334616688</v>
      </c>
      <c r="G98" s="6" t="inlineStr">
        <is>
          <t>contact@vectorpartnersprime.com</t>
        </is>
      </c>
      <c r="H98" s="7" t="n">
        <v>1954374</v>
      </c>
    </row>
    <row r="99">
      <c r="A99" s="8" t="inlineStr">
        <is>
          <t>Prime Industries Omega</t>
        </is>
      </c>
      <c r="B99" s="9" t="inlineStr">
        <is>
          <t>Telecom</t>
        </is>
      </c>
      <c r="C99" s="9" t="inlineStr">
        <is>
          <t>North America</t>
        </is>
      </c>
      <c r="D99" s="9" t="n">
        <v>6</v>
      </c>
      <c r="E99" s="9" t="n">
        <v>421</v>
      </c>
      <c r="F99" s="10" t="n">
        <v>21978109</v>
      </c>
      <c r="G99" s="9" t="inlineStr">
        <is>
          <t>contact@primeindustriesomega.com</t>
        </is>
      </c>
      <c r="H99" s="10" t="n">
        <v>738298</v>
      </c>
    </row>
    <row r="100">
      <c r="A100" s="5" t="inlineStr">
        <is>
          <t>Titan Technologies Pro</t>
        </is>
      </c>
      <c r="B100" s="6" t="inlineStr">
        <is>
          <t>Telecom</t>
        </is>
      </c>
      <c r="C100" s="6" t="inlineStr">
        <is>
          <t>Middle East &amp; Africa</t>
        </is>
      </c>
      <c r="D100" s="6" t="n">
        <v>25</v>
      </c>
      <c r="E100" s="6" t="n">
        <v>1315</v>
      </c>
      <c r="F100" s="7" t="n">
        <v>477352907</v>
      </c>
      <c r="G100" s="6" t="inlineStr">
        <is>
          <t>contact@titantechnologiespro.com</t>
        </is>
      </c>
      <c r="H100" s="7" t="n">
        <v>970075</v>
      </c>
    </row>
    <row r="101">
      <c r="A101" s="8" t="inlineStr">
        <is>
          <t>Horizon Solutions Prime</t>
        </is>
      </c>
      <c r="B101" s="9" t="inlineStr">
        <is>
          <t>Manufacturing</t>
        </is>
      </c>
      <c r="C101" s="9" t="inlineStr">
        <is>
          <t>Latin America</t>
        </is>
      </c>
      <c r="D101" s="9" t="n">
        <v>16</v>
      </c>
      <c r="E101" s="9" t="n">
        <v>1984</v>
      </c>
      <c r="F101" s="10" t="n">
        <v>461266325</v>
      </c>
      <c r="G101" s="9" t="inlineStr">
        <is>
          <t>contact@horizonsolutionsprime.com</t>
        </is>
      </c>
      <c r="H101" s="10" t="n">
        <v>860607</v>
      </c>
    </row>
    <row r="102">
      <c r="A102" s="5" t="inlineStr">
        <is>
          <t>Sterling Solutions Core</t>
        </is>
      </c>
      <c r="B102" s="6" t="inlineStr">
        <is>
          <t>Retail</t>
        </is>
      </c>
      <c r="C102" s="6" t="inlineStr">
        <is>
          <t>Europe</t>
        </is>
      </c>
      <c r="D102" s="6" t="n">
        <v>5</v>
      </c>
      <c r="E102" s="6" t="n">
        <v>3775</v>
      </c>
      <c r="F102" s="7" t="n">
        <v>51216793</v>
      </c>
      <c r="G102" s="6" t="inlineStr">
        <is>
          <t>contact@sterlingsolutionscore.com</t>
        </is>
      </c>
      <c r="H102" s="7" t="n">
        <v>1489926</v>
      </c>
    </row>
    <row r="103">
      <c r="A103" s="8" t="inlineStr">
        <is>
          <t>Global Solutions Prime</t>
        </is>
      </c>
      <c r="B103" s="9" t="inlineStr">
        <is>
          <t>Manufacturing</t>
        </is>
      </c>
      <c r="C103" s="9" t="inlineStr">
        <is>
          <t>Europe</t>
        </is>
      </c>
      <c r="D103" s="9" t="n">
        <v>20</v>
      </c>
      <c r="E103" s="9" t="n">
        <v>1731</v>
      </c>
      <c r="F103" s="10" t="n">
        <v>38834794</v>
      </c>
      <c r="G103" s="9" t="inlineStr">
        <is>
          <t>contact@globalsolutionsprime.com</t>
        </is>
      </c>
      <c r="H103" s="10" t="n">
        <v>1840254</v>
      </c>
    </row>
    <row r="104">
      <c r="A104" s="5" t="inlineStr">
        <is>
          <t>Zenith Technologies Gamma</t>
        </is>
      </c>
      <c r="B104" s="6" t="inlineStr">
        <is>
          <t>Technology</t>
        </is>
      </c>
      <c r="C104" s="6" t="inlineStr">
        <is>
          <t>Asia Pacific</t>
        </is>
      </c>
      <c r="D104" s="6" t="n">
        <v>6</v>
      </c>
      <c r="E104" s="6" t="n">
        <v>1114</v>
      </c>
      <c r="F104" s="7" t="n">
        <v>292025967</v>
      </c>
      <c r="G104" s="6" t="inlineStr">
        <is>
          <t>contact@zenithtechnologiesgamma.com</t>
        </is>
      </c>
      <c r="H104" s="7" t="n">
        <v>625659</v>
      </c>
    </row>
    <row r="105">
      <c r="A105" s="8" t="inlineStr">
        <is>
          <t>Synergy Solutions Prime</t>
        </is>
      </c>
      <c r="B105" s="9" t="inlineStr">
        <is>
          <t>Manufacturing</t>
        </is>
      </c>
      <c r="C105" s="9" t="inlineStr">
        <is>
          <t>Middle East &amp; Africa</t>
        </is>
      </c>
      <c r="D105" s="9" t="n">
        <v>12</v>
      </c>
      <c r="E105" s="9" t="n">
        <v>179</v>
      </c>
      <c r="F105" s="10" t="n">
        <v>95547717</v>
      </c>
      <c r="G105" s="9" t="inlineStr">
        <is>
          <t>contact@synergysolutionsprime.com</t>
        </is>
      </c>
      <c r="H105" s="10" t="n">
        <v>656516</v>
      </c>
    </row>
    <row r="106">
      <c r="A106" s="5" t="inlineStr">
        <is>
          <t>Nexus Systems Nova</t>
        </is>
      </c>
      <c r="B106" s="6" t="inlineStr">
        <is>
          <t>Logistics</t>
        </is>
      </c>
      <c r="C106" s="6" t="inlineStr">
        <is>
          <t>Asia Pacific</t>
        </is>
      </c>
      <c r="D106" s="6" t="n">
        <v>18</v>
      </c>
      <c r="E106" s="6" t="n">
        <v>4913</v>
      </c>
      <c r="F106" s="7" t="n">
        <v>60547925</v>
      </c>
      <c r="G106" s="6" t="inlineStr">
        <is>
          <t>contact@nexussystemsnova.com</t>
        </is>
      </c>
      <c r="H106" s="7" t="n">
        <v>1047924</v>
      </c>
    </row>
    <row r="107">
      <c r="A107" s="8" t="inlineStr">
        <is>
          <t>Summit Enterprises Nova</t>
        </is>
      </c>
      <c r="B107" s="9" t="inlineStr">
        <is>
          <t>Technology</t>
        </is>
      </c>
      <c r="C107" s="9" t="inlineStr">
        <is>
          <t>North America</t>
        </is>
      </c>
      <c r="D107" s="9" t="n">
        <v>17</v>
      </c>
      <c r="E107" s="9" t="n">
        <v>3340</v>
      </c>
      <c r="F107" s="10" t="n">
        <v>230853906</v>
      </c>
      <c r="G107" s="9" t="inlineStr">
        <is>
          <t>contact@summitenterprisesnova.com</t>
        </is>
      </c>
      <c r="H107" s="10" t="n">
        <v>1538850</v>
      </c>
    </row>
    <row r="108">
      <c r="A108" s="5" t="inlineStr">
        <is>
          <t>Prime Technologies Edge</t>
        </is>
      </c>
      <c r="B108" s="6" t="inlineStr">
        <is>
          <t>Finance</t>
        </is>
      </c>
      <c r="C108" s="6" t="inlineStr">
        <is>
          <t>North America</t>
        </is>
      </c>
      <c r="D108" s="6" t="n">
        <v>6</v>
      </c>
      <c r="E108" s="6" t="n">
        <v>2302</v>
      </c>
      <c r="F108" s="7" t="n">
        <v>337177903</v>
      </c>
      <c r="G108" s="6" t="inlineStr">
        <is>
          <t>contact@primetechnologiesedge.com</t>
        </is>
      </c>
      <c r="H108" s="7" t="n">
        <v>1427658</v>
      </c>
    </row>
    <row r="109">
      <c r="A109" s="8" t="inlineStr">
        <is>
          <t>Orion Dynamics Omega</t>
        </is>
      </c>
      <c r="B109" s="9" t="inlineStr">
        <is>
          <t>Logistics</t>
        </is>
      </c>
      <c r="C109" s="9" t="inlineStr">
        <is>
          <t>Middle East &amp; Africa</t>
        </is>
      </c>
      <c r="D109" s="9" t="n">
        <v>21</v>
      </c>
      <c r="E109" s="9" t="n">
        <v>3574</v>
      </c>
      <c r="F109" s="10" t="n">
        <v>55246029</v>
      </c>
      <c r="G109" s="9" t="inlineStr">
        <is>
          <t>contact@oriondynamicsomega.com</t>
        </is>
      </c>
      <c r="H109" s="10" t="n">
        <v>1763243</v>
      </c>
    </row>
    <row r="110">
      <c r="A110" s="5" t="inlineStr">
        <is>
          <t>Vanguard Partners Nova</t>
        </is>
      </c>
      <c r="B110" s="6" t="inlineStr">
        <is>
          <t>Manufacturing</t>
        </is>
      </c>
      <c r="C110" s="6" t="inlineStr">
        <is>
          <t>Latin America</t>
        </is>
      </c>
      <c r="D110" s="6" t="n">
        <v>12</v>
      </c>
      <c r="E110" s="6" t="n">
        <v>3765</v>
      </c>
      <c r="F110" s="7" t="n">
        <v>216066637</v>
      </c>
      <c r="G110" s="6" t="inlineStr">
        <is>
          <t>contact@vanguardpartnersnova.com</t>
        </is>
      </c>
      <c r="H110" s="7" t="n">
        <v>972393</v>
      </c>
    </row>
    <row r="111">
      <c r="A111" s="8" t="inlineStr">
        <is>
          <t>Horizon Technologies Gamma</t>
        </is>
      </c>
      <c r="B111" s="9" t="inlineStr">
        <is>
          <t>Logistics</t>
        </is>
      </c>
      <c r="C111" s="9" t="inlineStr">
        <is>
          <t>North America</t>
        </is>
      </c>
      <c r="D111" s="9" t="n">
        <v>4</v>
      </c>
      <c r="E111" s="9" t="n">
        <v>749</v>
      </c>
      <c r="F111" s="10" t="n">
        <v>52052528</v>
      </c>
      <c r="G111" s="9" t="inlineStr">
        <is>
          <t>contact@horizontechnologiesgamma.com</t>
        </is>
      </c>
      <c r="H111" s="10" t="n">
        <v>1005710</v>
      </c>
    </row>
    <row r="112">
      <c r="A112" s="5" t="inlineStr">
        <is>
          <t>Apex Capital Pro</t>
        </is>
      </c>
      <c r="B112" s="6" t="inlineStr">
        <is>
          <t>Energy</t>
        </is>
      </c>
      <c r="C112" s="6" t="inlineStr">
        <is>
          <t>North America</t>
        </is>
      </c>
      <c r="D112" s="6" t="n">
        <v>15</v>
      </c>
      <c r="E112" s="6" t="n">
        <v>2946</v>
      </c>
      <c r="F112" s="7" t="n">
        <v>471014387</v>
      </c>
      <c r="G112" s="6" t="inlineStr">
        <is>
          <t>contact@apexcapitalpro.com</t>
        </is>
      </c>
      <c r="H112" s="7" t="n">
        <v>1495320</v>
      </c>
    </row>
    <row r="113">
      <c r="A113" s="8" t="inlineStr">
        <is>
          <t>Pinnacle Technologies Beta</t>
        </is>
      </c>
      <c r="B113" s="9" t="inlineStr">
        <is>
          <t>Manufacturing</t>
        </is>
      </c>
      <c r="C113" s="9" t="inlineStr">
        <is>
          <t>Europe</t>
        </is>
      </c>
      <c r="D113" s="9" t="n">
        <v>23</v>
      </c>
      <c r="E113" s="9" t="n">
        <v>4000</v>
      </c>
      <c r="F113" s="10" t="n">
        <v>122390544</v>
      </c>
      <c r="G113" s="9" t="inlineStr">
        <is>
          <t>contact@pinnacletechnologiesbeta.com</t>
        </is>
      </c>
      <c r="H113" s="10" t="n">
        <v>1876864</v>
      </c>
    </row>
    <row r="114">
      <c r="A114" s="5" t="inlineStr">
        <is>
          <t>Nexus Enterprises Edge</t>
        </is>
      </c>
      <c r="B114" s="6" t="inlineStr">
        <is>
          <t>Manufacturing</t>
        </is>
      </c>
      <c r="C114" s="6" t="inlineStr">
        <is>
          <t>Latin America</t>
        </is>
      </c>
      <c r="D114" s="6" t="n">
        <v>19</v>
      </c>
      <c r="E114" s="6" t="n">
        <v>4610</v>
      </c>
      <c r="F114" s="7" t="n">
        <v>16094918</v>
      </c>
      <c r="G114" s="6" t="inlineStr">
        <is>
          <t>contact@nexusenterprisesedge.com</t>
        </is>
      </c>
      <c r="H114" s="7" t="n">
        <v>1377154</v>
      </c>
    </row>
    <row r="115">
      <c r="A115" s="8" t="inlineStr">
        <is>
          <t>Pinnacle Technologies Prime</t>
        </is>
      </c>
      <c r="B115" s="9" t="inlineStr">
        <is>
          <t>Technology</t>
        </is>
      </c>
      <c r="C115" s="9" t="inlineStr">
        <is>
          <t>Europe</t>
        </is>
      </c>
      <c r="D115" s="9" t="n">
        <v>6</v>
      </c>
      <c r="E115" s="9" t="n">
        <v>4689</v>
      </c>
      <c r="F115" s="10" t="n">
        <v>354909212</v>
      </c>
      <c r="G115" s="9" t="inlineStr">
        <is>
          <t>contact@pinnacletechnologiesprime.com</t>
        </is>
      </c>
      <c r="H115" s="10" t="n">
        <v>940505</v>
      </c>
    </row>
    <row r="116">
      <c r="A116" s="5" t="inlineStr">
        <is>
          <t>Prime Dynamics Delta</t>
        </is>
      </c>
      <c r="B116" s="6" t="inlineStr">
        <is>
          <t>Telecom</t>
        </is>
      </c>
      <c r="C116" s="6" t="inlineStr">
        <is>
          <t>Latin America</t>
        </is>
      </c>
      <c r="D116" s="6" t="n">
        <v>16</v>
      </c>
      <c r="E116" s="6" t="n">
        <v>2842</v>
      </c>
      <c r="F116" s="7" t="n">
        <v>86508460</v>
      </c>
      <c r="G116" s="6" t="inlineStr">
        <is>
          <t>contact@primedynamicsdelta.com</t>
        </is>
      </c>
      <c r="H116" s="7" t="n">
        <v>876057</v>
      </c>
    </row>
    <row r="117">
      <c r="A117" s="8" t="inlineStr">
        <is>
          <t>Prime Solutions Gamma</t>
        </is>
      </c>
      <c r="B117" s="9" t="inlineStr">
        <is>
          <t>Finance</t>
        </is>
      </c>
      <c r="C117" s="9" t="inlineStr">
        <is>
          <t>Middle East &amp; Africa</t>
        </is>
      </c>
      <c r="D117" s="9" t="n">
        <v>3</v>
      </c>
      <c r="E117" s="9" t="n">
        <v>718</v>
      </c>
      <c r="F117" s="10" t="n">
        <v>148084101</v>
      </c>
      <c r="G117" s="9" t="inlineStr">
        <is>
          <t>contact@primesolutionsgamma.com</t>
        </is>
      </c>
      <c r="H117" s="10" t="n">
        <v>1029275</v>
      </c>
    </row>
    <row r="118">
      <c r="A118" s="5" t="inlineStr">
        <is>
          <t>Cobalt Enterprises Delta</t>
        </is>
      </c>
      <c r="B118" s="6" t="inlineStr">
        <is>
          <t>Healthcare</t>
        </is>
      </c>
      <c r="C118" s="6" t="inlineStr">
        <is>
          <t>Asia Pacific</t>
        </is>
      </c>
      <c r="D118" s="6" t="n">
        <v>15</v>
      </c>
      <c r="E118" s="6" t="n">
        <v>958</v>
      </c>
      <c r="F118" s="7" t="n">
        <v>154066791</v>
      </c>
      <c r="G118" s="6" t="inlineStr">
        <is>
          <t>contact@cobaltenterprisesdelta.com</t>
        </is>
      </c>
      <c r="H118" s="7" t="n">
        <v>1522326</v>
      </c>
    </row>
    <row r="119">
      <c r="A119" s="8" t="inlineStr">
        <is>
          <t>Apex Corp Core</t>
        </is>
      </c>
      <c r="B119" s="9" t="inlineStr">
        <is>
          <t>Technology</t>
        </is>
      </c>
      <c r="C119" s="9" t="inlineStr">
        <is>
          <t>North America</t>
        </is>
      </c>
      <c r="D119" s="9" t="n">
        <v>8</v>
      </c>
      <c r="E119" s="9" t="n">
        <v>2519</v>
      </c>
      <c r="F119" s="10" t="n">
        <v>115405378</v>
      </c>
      <c r="G119" s="9" t="inlineStr">
        <is>
          <t>contact@apexcorpcore.com</t>
        </is>
      </c>
      <c r="H119" s="10" t="n">
        <v>1709248</v>
      </c>
    </row>
    <row r="120">
      <c r="A120" s="5" t="inlineStr">
        <is>
          <t>Nexus Solutions Nova</t>
        </is>
      </c>
      <c r="B120" s="6" t="inlineStr">
        <is>
          <t>Telecom</t>
        </is>
      </c>
      <c r="C120" s="6" t="inlineStr">
        <is>
          <t>Europe</t>
        </is>
      </c>
      <c r="D120" s="6" t="n">
        <v>6</v>
      </c>
      <c r="E120" s="6" t="n">
        <v>3164</v>
      </c>
      <c r="F120" s="7" t="n">
        <v>287927970</v>
      </c>
      <c r="G120" s="6" t="inlineStr">
        <is>
          <t>contact@nexussolutionsnova.com</t>
        </is>
      </c>
      <c r="H120" s="7" t="n">
        <v>1575705</v>
      </c>
    </row>
    <row r="121">
      <c r="A121" s="8" t="inlineStr">
        <is>
          <t>Prime Partners Alpha</t>
        </is>
      </c>
      <c r="B121" s="9" t="inlineStr">
        <is>
          <t>Telecom</t>
        </is>
      </c>
      <c r="C121" s="9" t="inlineStr">
        <is>
          <t>North America</t>
        </is>
      </c>
      <c r="D121" s="9" t="n">
        <v>16</v>
      </c>
      <c r="E121" s="9" t="n">
        <v>687</v>
      </c>
      <c r="F121" s="10" t="n">
        <v>464841790</v>
      </c>
      <c r="G121" s="9" t="inlineStr">
        <is>
          <t>contact@primepartnersalpha.com</t>
        </is>
      </c>
      <c r="H121" s="10" t="n">
        <v>756535</v>
      </c>
    </row>
  </sheetData>
  <autoFilter ref="A1:H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Region</t>
        </is>
      </c>
      <c r="D1" s="4" t="inlineStr">
        <is>
          <t>C1: Min 3 Yrs</t>
        </is>
      </c>
      <c r="E1" s="4" t="inlineStr">
        <is>
          <t>C2: Min 50 Emp</t>
        </is>
      </c>
      <c r="F1" s="4" t="inlineStr">
        <is>
          <t>C3: Min $1M Rev</t>
        </is>
      </c>
      <c r="G1" s="4" t="inlineStr">
        <is>
          <t>C4: Valid Contact</t>
        </is>
      </c>
      <c r="H1" s="4" t="inlineStr">
        <is>
          <t>C5: Active Region</t>
        </is>
      </c>
      <c r="I1" s="4" t="inlineStr">
        <is>
          <t>C6: Bid Under $1.5M</t>
        </is>
      </c>
      <c r="J1" s="4" t="inlineStr">
        <is>
          <t>C7: Tech Ready</t>
        </is>
      </c>
      <c r="K1" s="4" t="inlineStr">
        <is>
          <t>C8: Fin Healthy</t>
        </is>
      </c>
      <c r="L1" s="4" t="inlineStr">
        <is>
          <t>Final Status</t>
        </is>
      </c>
    </row>
    <row r="2">
      <c r="A2" s="5">
        <f>Raw_Data!A2</f>
        <v/>
      </c>
      <c r="B2" s="6">
        <f>Raw_Data!B2</f>
        <v/>
      </c>
      <c r="C2" s="6">
        <f>Raw_Data!C2</f>
        <v/>
      </c>
      <c r="D2" s="6">
        <f>IF(Raw_Data!D2&gt;=3,"PASS","FAIL")</f>
        <v/>
      </c>
      <c r="E2" s="6">
        <f>IF(Raw_Data!E2&gt;=50,"PASS","FAIL")</f>
        <v/>
      </c>
      <c r="F2" s="6">
        <f>IF(Raw_Data!F2&gt;=1000000,"PASS","FAIL")</f>
        <v/>
      </c>
      <c r="G2" s="6">
        <f>IF(ISNUMBER(SEARCH("@",Raw_Data!G2)),"PASS","FAIL")</f>
        <v/>
      </c>
      <c r="H2" s="6">
        <f>IF(OR(Raw_Data!C2="North America",Raw_Data!C2="Europe",Raw_Data!C2="Asia Pacific"),"PASS","FAIL")</f>
        <v/>
      </c>
      <c r="I2" s="6">
        <f>IF(Raw_Data!H2&lt;=1500000,"PASS","FAIL")</f>
        <v/>
      </c>
      <c r="J2" s="6">
        <f>IF(Raw_Data!D2&gt;=5,"PASS","FAIL")</f>
        <v/>
      </c>
      <c r="K2" s="6">
        <f>IF(Raw_Data!F2&gt;=5000000,"PASS","FAIL")</f>
        <v/>
      </c>
      <c r="L2" s="6">
        <f>IF(AND(D2="PASS",E2="PASS",F2="PASS",G2="PASS",H2="PASS",I2="PASS",J2="PASS",K2="PASS"),"Qualified","Disqualified")</f>
        <v/>
      </c>
    </row>
    <row r="3">
      <c r="A3" s="8">
        <f>Raw_Data!A3</f>
        <v/>
      </c>
      <c r="B3" s="9">
        <f>Raw_Data!B3</f>
        <v/>
      </c>
      <c r="C3" s="9">
        <f>Raw_Data!C3</f>
        <v/>
      </c>
      <c r="D3" s="9">
        <f>IF(Raw_Data!D3&gt;=3,"PASS","FAIL")</f>
        <v/>
      </c>
      <c r="E3" s="9">
        <f>IF(Raw_Data!E3&gt;=50,"PASS","FAIL")</f>
        <v/>
      </c>
      <c r="F3" s="9">
        <f>IF(Raw_Data!F3&gt;=1000000,"PASS","FAIL")</f>
        <v/>
      </c>
      <c r="G3" s="9">
        <f>IF(ISNUMBER(SEARCH("@",Raw_Data!G3)),"PASS","FAIL")</f>
        <v/>
      </c>
      <c r="H3" s="9">
        <f>IF(OR(Raw_Data!C3="North America",Raw_Data!C3="Europe",Raw_Data!C3="Asia Pacific"),"PASS","FAIL")</f>
        <v/>
      </c>
      <c r="I3" s="9">
        <f>IF(Raw_Data!H3&lt;=1500000,"PASS","FAIL")</f>
        <v/>
      </c>
      <c r="J3" s="9">
        <f>IF(Raw_Data!D3&gt;=5,"PASS","FAIL")</f>
        <v/>
      </c>
      <c r="K3" s="9">
        <f>IF(Raw_Data!F3&gt;=5000000,"PASS","FAIL")</f>
        <v/>
      </c>
      <c r="L3" s="9">
        <f>IF(AND(D3="PASS",E3="PASS",F3="PASS",G3="PASS",H3="PASS",I3="PASS",J3="PASS",K3="PASS"),"Qualified","Disqualified")</f>
        <v/>
      </c>
    </row>
    <row r="4">
      <c r="A4" s="5">
        <f>Raw_Data!A4</f>
        <v/>
      </c>
      <c r="B4" s="6">
        <f>Raw_Data!B4</f>
        <v/>
      </c>
      <c r="C4" s="6">
        <f>Raw_Data!C4</f>
        <v/>
      </c>
      <c r="D4" s="6">
        <f>IF(Raw_Data!D4&gt;=3,"PASS","FAIL")</f>
        <v/>
      </c>
      <c r="E4" s="6">
        <f>IF(Raw_Data!E4&gt;=50,"PASS","FAIL")</f>
        <v/>
      </c>
      <c r="F4" s="6">
        <f>IF(Raw_Data!F4&gt;=1000000,"PASS","FAIL")</f>
        <v/>
      </c>
      <c r="G4" s="6">
        <f>IF(ISNUMBER(SEARCH("@",Raw_Data!G4)),"PASS","FAIL")</f>
        <v/>
      </c>
      <c r="H4" s="6">
        <f>IF(OR(Raw_Data!C4="North America",Raw_Data!C4="Europe",Raw_Data!C4="Asia Pacific"),"PASS","FAIL")</f>
        <v/>
      </c>
      <c r="I4" s="6">
        <f>IF(Raw_Data!H4&lt;=1500000,"PASS","FAIL")</f>
        <v/>
      </c>
      <c r="J4" s="6">
        <f>IF(Raw_Data!D4&gt;=5,"PASS","FAIL")</f>
        <v/>
      </c>
      <c r="K4" s="6">
        <f>IF(Raw_Data!F4&gt;=5000000,"PASS","FAIL")</f>
        <v/>
      </c>
      <c r="L4" s="6">
        <f>IF(AND(D4="PASS",E4="PASS",F4="PASS",G4="PASS",H4="PASS",I4="PASS",J4="PASS",K4="PASS"),"Qualified","Disqualified")</f>
        <v/>
      </c>
    </row>
    <row r="5">
      <c r="A5" s="8">
        <f>Raw_Data!A5</f>
        <v/>
      </c>
      <c r="B5" s="9">
        <f>Raw_Data!B5</f>
        <v/>
      </c>
      <c r="C5" s="9">
        <f>Raw_Data!C5</f>
        <v/>
      </c>
      <c r="D5" s="9">
        <f>IF(Raw_Data!D5&gt;=3,"PASS","FAIL")</f>
        <v/>
      </c>
      <c r="E5" s="9">
        <f>IF(Raw_Data!E5&gt;=50,"PASS","FAIL")</f>
        <v/>
      </c>
      <c r="F5" s="9">
        <f>IF(Raw_Data!F5&gt;=1000000,"PASS","FAIL")</f>
        <v/>
      </c>
      <c r="G5" s="9">
        <f>IF(ISNUMBER(SEARCH("@",Raw_Data!G5)),"PASS","FAIL")</f>
        <v/>
      </c>
      <c r="H5" s="9">
        <f>IF(OR(Raw_Data!C5="North America",Raw_Data!C5="Europe",Raw_Data!C5="Asia Pacific"),"PASS","FAIL")</f>
        <v/>
      </c>
      <c r="I5" s="9">
        <f>IF(Raw_Data!H5&lt;=1500000,"PASS","FAIL")</f>
        <v/>
      </c>
      <c r="J5" s="9">
        <f>IF(Raw_Data!D5&gt;=5,"PASS","FAIL")</f>
        <v/>
      </c>
      <c r="K5" s="9">
        <f>IF(Raw_Data!F5&gt;=5000000,"PASS","FAIL")</f>
        <v/>
      </c>
      <c r="L5" s="9">
        <f>IF(AND(D5="PASS",E5="PASS",F5="PASS",G5="PASS",H5="PASS",I5="PASS",J5="PASS",K5="PASS"),"Qualified","Disqualified")</f>
        <v/>
      </c>
    </row>
    <row r="6">
      <c r="A6" s="5">
        <f>Raw_Data!A6</f>
        <v/>
      </c>
      <c r="B6" s="6">
        <f>Raw_Data!B6</f>
        <v/>
      </c>
      <c r="C6" s="6">
        <f>Raw_Data!C6</f>
        <v/>
      </c>
      <c r="D6" s="6">
        <f>IF(Raw_Data!D6&gt;=3,"PASS","FAIL")</f>
        <v/>
      </c>
      <c r="E6" s="6">
        <f>IF(Raw_Data!E6&gt;=50,"PASS","FAIL")</f>
        <v/>
      </c>
      <c r="F6" s="6">
        <f>IF(Raw_Data!F6&gt;=1000000,"PASS","FAIL")</f>
        <v/>
      </c>
      <c r="G6" s="6">
        <f>IF(ISNUMBER(SEARCH("@",Raw_Data!G6)),"PASS","FAIL")</f>
        <v/>
      </c>
      <c r="H6" s="6">
        <f>IF(OR(Raw_Data!C6="North America",Raw_Data!C6="Europe",Raw_Data!C6="Asia Pacific"),"PASS","FAIL")</f>
        <v/>
      </c>
      <c r="I6" s="6">
        <f>IF(Raw_Data!H6&lt;=1500000,"PASS","FAIL")</f>
        <v/>
      </c>
      <c r="J6" s="6">
        <f>IF(Raw_Data!D6&gt;=5,"PASS","FAIL")</f>
        <v/>
      </c>
      <c r="K6" s="6">
        <f>IF(Raw_Data!F6&gt;=5000000,"PASS","FAIL")</f>
        <v/>
      </c>
      <c r="L6" s="6">
        <f>IF(AND(D6="PASS",E6="PASS",F6="PASS",G6="PASS",H6="PASS",I6="PASS",J6="PASS",K6="PASS"),"Qualified","Disqualified")</f>
        <v/>
      </c>
    </row>
    <row r="7">
      <c r="A7" s="8">
        <f>Raw_Data!A7</f>
        <v/>
      </c>
      <c r="B7" s="9">
        <f>Raw_Data!B7</f>
        <v/>
      </c>
      <c r="C7" s="9">
        <f>Raw_Data!C7</f>
        <v/>
      </c>
      <c r="D7" s="9">
        <f>IF(Raw_Data!D7&gt;=3,"PASS","FAIL")</f>
        <v/>
      </c>
      <c r="E7" s="9">
        <f>IF(Raw_Data!E7&gt;=50,"PASS","FAIL")</f>
        <v/>
      </c>
      <c r="F7" s="9">
        <f>IF(Raw_Data!F7&gt;=1000000,"PASS","FAIL")</f>
        <v/>
      </c>
      <c r="G7" s="9">
        <f>IF(ISNUMBER(SEARCH("@",Raw_Data!G7)),"PASS","FAIL")</f>
        <v/>
      </c>
      <c r="H7" s="9">
        <f>IF(OR(Raw_Data!C7="North America",Raw_Data!C7="Europe",Raw_Data!C7="Asia Pacific"),"PASS","FAIL")</f>
        <v/>
      </c>
      <c r="I7" s="9">
        <f>IF(Raw_Data!H7&lt;=1500000,"PASS","FAIL")</f>
        <v/>
      </c>
      <c r="J7" s="9">
        <f>IF(Raw_Data!D7&gt;=5,"PASS","FAIL")</f>
        <v/>
      </c>
      <c r="K7" s="9">
        <f>IF(Raw_Data!F7&gt;=5000000,"PASS","FAIL")</f>
        <v/>
      </c>
      <c r="L7" s="9">
        <f>IF(AND(D7="PASS",E7="PASS",F7="PASS",G7="PASS",H7="PASS",I7="PASS",J7="PASS",K7="PASS"),"Qualified","Disqualified")</f>
        <v/>
      </c>
    </row>
    <row r="8">
      <c r="A8" s="5">
        <f>Raw_Data!A8</f>
        <v/>
      </c>
      <c r="B8" s="6">
        <f>Raw_Data!B8</f>
        <v/>
      </c>
      <c r="C8" s="6">
        <f>Raw_Data!C8</f>
        <v/>
      </c>
      <c r="D8" s="6">
        <f>IF(Raw_Data!D8&gt;=3,"PASS","FAIL")</f>
        <v/>
      </c>
      <c r="E8" s="6">
        <f>IF(Raw_Data!E8&gt;=50,"PASS","FAIL")</f>
        <v/>
      </c>
      <c r="F8" s="6">
        <f>IF(Raw_Data!F8&gt;=1000000,"PASS","FAIL")</f>
        <v/>
      </c>
      <c r="G8" s="6">
        <f>IF(ISNUMBER(SEARCH("@",Raw_Data!G8)),"PASS","FAIL")</f>
        <v/>
      </c>
      <c r="H8" s="6">
        <f>IF(OR(Raw_Data!C8="North America",Raw_Data!C8="Europe",Raw_Data!C8="Asia Pacific"),"PASS","FAIL")</f>
        <v/>
      </c>
      <c r="I8" s="6">
        <f>IF(Raw_Data!H8&lt;=1500000,"PASS","FAIL")</f>
        <v/>
      </c>
      <c r="J8" s="6">
        <f>IF(Raw_Data!D8&gt;=5,"PASS","FAIL")</f>
        <v/>
      </c>
      <c r="K8" s="6">
        <f>IF(Raw_Data!F8&gt;=5000000,"PASS","FAIL")</f>
        <v/>
      </c>
      <c r="L8" s="6">
        <f>IF(AND(D8="PASS",E8="PASS",F8="PASS",G8="PASS",H8="PASS",I8="PASS",J8="PASS",K8="PASS"),"Qualified","Disqualified")</f>
        <v/>
      </c>
    </row>
    <row r="9">
      <c r="A9" s="8">
        <f>Raw_Data!A9</f>
        <v/>
      </c>
      <c r="B9" s="9">
        <f>Raw_Data!B9</f>
        <v/>
      </c>
      <c r="C9" s="9">
        <f>Raw_Data!C9</f>
        <v/>
      </c>
      <c r="D9" s="9">
        <f>IF(Raw_Data!D9&gt;=3,"PASS","FAIL")</f>
        <v/>
      </c>
      <c r="E9" s="9">
        <f>IF(Raw_Data!E9&gt;=50,"PASS","FAIL")</f>
        <v/>
      </c>
      <c r="F9" s="9">
        <f>IF(Raw_Data!F9&gt;=1000000,"PASS","FAIL")</f>
        <v/>
      </c>
      <c r="G9" s="9">
        <f>IF(ISNUMBER(SEARCH("@",Raw_Data!G9)),"PASS","FAIL")</f>
        <v/>
      </c>
      <c r="H9" s="9">
        <f>IF(OR(Raw_Data!C9="North America",Raw_Data!C9="Europe",Raw_Data!C9="Asia Pacific"),"PASS","FAIL")</f>
        <v/>
      </c>
      <c r="I9" s="9">
        <f>IF(Raw_Data!H9&lt;=1500000,"PASS","FAIL")</f>
        <v/>
      </c>
      <c r="J9" s="9">
        <f>IF(Raw_Data!D9&gt;=5,"PASS","FAIL")</f>
        <v/>
      </c>
      <c r="K9" s="9">
        <f>IF(Raw_Data!F9&gt;=5000000,"PASS","FAIL")</f>
        <v/>
      </c>
      <c r="L9" s="9">
        <f>IF(AND(D9="PASS",E9="PASS",F9="PASS",G9="PASS",H9="PASS",I9="PASS",J9="PASS",K9="PASS"),"Qualified","Disqualified")</f>
        <v/>
      </c>
    </row>
    <row r="10">
      <c r="A10" s="5">
        <f>Raw_Data!A10</f>
        <v/>
      </c>
      <c r="B10" s="6">
        <f>Raw_Data!B10</f>
        <v/>
      </c>
      <c r="C10" s="6">
        <f>Raw_Data!C10</f>
        <v/>
      </c>
      <c r="D10" s="6">
        <f>IF(Raw_Data!D10&gt;=3,"PASS","FAIL")</f>
        <v/>
      </c>
      <c r="E10" s="6">
        <f>IF(Raw_Data!E10&gt;=50,"PASS","FAIL")</f>
        <v/>
      </c>
      <c r="F10" s="6">
        <f>IF(Raw_Data!F10&gt;=1000000,"PASS","FAIL")</f>
        <v/>
      </c>
      <c r="G10" s="6">
        <f>IF(ISNUMBER(SEARCH("@",Raw_Data!G10)),"PASS","FAIL")</f>
        <v/>
      </c>
      <c r="H10" s="6">
        <f>IF(OR(Raw_Data!C10="North America",Raw_Data!C10="Europe",Raw_Data!C10="Asia Pacific"),"PASS","FAIL")</f>
        <v/>
      </c>
      <c r="I10" s="6">
        <f>IF(Raw_Data!H10&lt;=1500000,"PASS","FAIL")</f>
        <v/>
      </c>
      <c r="J10" s="6">
        <f>IF(Raw_Data!D10&gt;=5,"PASS","FAIL")</f>
        <v/>
      </c>
      <c r="K10" s="6">
        <f>IF(Raw_Data!F10&gt;=5000000,"PASS","FAIL")</f>
        <v/>
      </c>
      <c r="L10" s="6">
        <f>IF(AND(D10="PASS",E10="PASS",F10="PASS",G10="PASS",H10="PASS",I10="PASS",J10="PASS",K10="PASS"),"Qualified","Disqualified")</f>
        <v/>
      </c>
    </row>
    <row r="11">
      <c r="A11" s="8">
        <f>Raw_Data!A11</f>
        <v/>
      </c>
      <c r="B11" s="9">
        <f>Raw_Data!B11</f>
        <v/>
      </c>
      <c r="C11" s="9">
        <f>Raw_Data!C11</f>
        <v/>
      </c>
      <c r="D11" s="9">
        <f>IF(Raw_Data!D11&gt;=3,"PASS","FAIL")</f>
        <v/>
      </c>
      <c r="E11" s="9">
        <f>IF(Raw_Data!E11&gt;=50,"PASS","FAIL")</f>
        <v/>
      </c>
      <c r="F11" s="9">
        <f>IF(Raw_Data!F11&gt;=1000000,"PASS","FAIL")</f>
        <v/>
      </c>
      <c r="G11" s="9">
        <f>IF(ISNUMBER(SEARCH("@",Raw_Data!G11)),"PASS","FAIL")</f>
        <v/>
      </c>
      <c r="H11" s="9">
        <f>IF(OR(Raw_Data!C11="North America",Raw_Data!C11="Europe",Raw_Data!C11="Asia Pacific"),"PASS","FAIL")</f>
        <v/>
      </c>
      <c r="I11" s="9">
        <f>IF(Raw_Data!H11&lt;=1500000,"PASS","FAIL")</f>
        <v/>
      </c>
      <c r="J11" s="9">
        <f>IF(Raw_Data!D11&gt;=5,"PASS","FAIL")</f>
        <v/>
      </c>
      <c r="K11" s="9">
        <f>IF(Raw_Data!F11&gt;=5000000,"PASS","FAIL")</f>
        <v/>
      </c>
      <c r="L11" s="9">
        <f>IF(AND(D11="PASS",E11="PASS",F11="PASS",G11="PASS",H11="PASS",I11="PASS",J11="PASS",K11="PASS"),"Qualified","Disqualified")</f>
        <v/>
      </c>
    </row>
    <row r="12">
      <c r="A12" s="5">
        <f>Raw_Data!A12</f>
        <v/>
      </c>
      <c r="B12" s="6">
        <f>Raw_Data!B12</f>
        <v/>
      </c>
      <c r="C12" s="6">
        <f>Raw_Data!C12</f>
        <v/>
      </c>
      <c r="D12" s="6">
        <f>IF(Raw_Data!D12&gt;=3,"PASS","FAIL")</f>
        <v/>
      </c>
      <c r="E12" s="6">
        <f>IF(Raw_Data!E12&gt;=50,"PASS","FAIL")</f>
        <v/>
      </c>
      <c r="F12" s="6">
        <f>IF(Raw_Data!F12&gt;=1000000,"PASS","FAIL")</f>
        <v/>
      </c>
      <c r="G12" s="6">
        <f>IF(ISNUMBER(SEARCH("@",Raw_Data!G12)),"PASS","FAIL")</f>
        <v/>
      </c>
      <c r="H12" s="6">
        <f>IF(OR(Raw_Data!C12="North America",Raw_Data!C12="Europe",Raw_Data!C12="Asia Pacific"),"PASS","FAIL")</f>
        <v/>
      </c>
      <c r="I12" s="6">
        <f>IF(Raw_Data!H12&lt;=1500000,"PASS","FAIL")</f>
        <v/>
      </c>
      <c r="J12" s="6">
        <f>IF(Raw_Data!D12&gt;=5,"PASS","FAIL")</f>
        <v/>
      </c>
      <c r="K12" s="6">
        <f>IF(Raw_Data!F12&gt;=5000000,"PASS","FAIL")</f>
        <v/>
      </c>
      <c r="L12" s="6">
        <f>IF(AND(D12="PASS",E12="PASS",F12="PASS",G12="PASS",H12="PASS",I12="PASS",J12="PASS",K12="PASS"),"Qualified","Disqualified")</f>
        <v/>
      </c>
    </row>
    <row r="13">
      <c r="A13" s="8">
        <f>Raw_Data!A13</f>
        <v/>
      </c>
      <c r="B13" s="9">
        <f>Raw_Data!B13</f>
        <v/>
      </c>
      <c r="C13" s="9">
        <f>Raw_Data!C13</f>
        <v/>
      </c>
      <c r="D13" s="9">
        <f>IF(Raw_Data!D13&gt;=3,"PASS","FAIL")</f>
        <v/>
      </c>
      <c r="E13" s="9">
        <f>IF(Raw_Data!E13&gt;=50,"PASS","FAIL")</f>
        <v/>
      </c>
      <c r="F13" s="9">
        <f>IF(Raw_Data!F13&gt;=1000000,"PASS","FAIL")</f>
        <v/>
      </c>
      <c r="G13" s="9">
        <f>IF(ISNUMBER(SEARCH("@",Raw_Data!G13)),"PASS","FAIL")</f>
        <v/>
      </c>
      <c r="H13" s="9">
        <f>IF(OR(Raw_Data!C13="North America",Raw_Data!C13="Europe",Raw_Data!C13="Asia Pacific"),"PASS","FAIL")</f>
        <v/>
      </c>
      <c r="I13" s="9">
        <f>IF(Raw_Data!H13&lt;=1500000,"PASS","FAIL")</f>
        <v/>
      </c>
      <c r="J13" s="9">
        <f>IF(Raw_Data!D13&gt;=5,"PASS","FAIL")</f>
        <v/>
      </c>
      <c r="K13" s="9">
        <f>IF(Raw_Data!F13&gt;=5000000,"PASS","FAIL")</f>
        <v/>
      </c>
      <c r="L13" s="9">
        <f>IF(AND(D13="PASS",E13="PASS",F13="PASS",G13="PASS",H13="PASS",I13="PASS",J13="PASS",K13="PASS"),"Qualified","Disqualified")</f>
        <v/>
      </c>
    </row>
    <row r="14">
      <c r="A14" s="5">
        <f>Raw_Data!A14</f>
        <v/>
      </c>
      <c r="B14" s="6">
        <f>Raw_Data!B14</f>
        <v/>
      </c>
      <c r="C14" s="6">
        <f>Raw_Data!C14</f>
        <v/>
      </c>
      <c r="D14" s="6">
        <f>IF(Raw_Data!D14&gt;=3,"PASS","FAIL")</f>
        <v/>
      </c>
      <c r="E14" s="6">
        <f>IF(Raw_Data!E14&gt;=50,"PASS","FAIL")</f>
        <v/>
      </c>
      <c r="F14" s="6">
        <f>IF(Raw_Data!F14&gt;=1000000,"PASS","FAIL")</f>
        <v/>
      </c>
      <c r="G14" s="6">
        <f>IF(ISNUMBER(SEARCH("@",Raw_Data!G14)),"PASS","FAIL")</f>
        <v/>
      </c>
      <c r="H14" s="6">
        <f>IF(OR(Raw_Data!C14="North America",Raw_Data!C14="Europe",Raw_Data!C14="Asia Pacific"),"PASS","FAIL")</f>
        <v/>
      </c>
      <c r="I14" s="6">
        <f>IF(Raw_Data!H14&lt;=1500000,"PASS","FAIL")</f>
        <v/>
      </c>
      <c r="J14" s="6">
        <f>IF(Raw_Data!D14&gt;=5,"PASS","FAIL")</f>
        <v/>
      </c>
      <c r="K14" s="6">
        <f>IF(Raw_Data!F14&gt;=5000000,"PASS","FAIL")</f>
        <v/>
      </c>
      <c r="L14" s="6">
        <f>IF(AND(D14="PASS",E14="PASS",F14="PASS",G14="PASS",H14="PASS",I14="PASS",J14="PASS",K14="PASS"),"Qualified","Disqualified")</f>
        <v/>
      </c>
    </row>
    <row r="15">
      <c r="A15" s="8">
        <f>Raw_Data!A15</f>
        <v/>
      </c>
      <c r="B15" s="9">
        <f>Raw_Data!B15</f>
        <v/>
      </c>
      <c r="C15" s="9">
        <f>Raw_Data!C15</f>
        <v/>
      </c>
      <c r="D15" s="9">
        <f>IF(Raw_Data!D15&gt;=3,"PASS","FAIL")</f>
        <v/>
      </c>
      <c r="E15" s="9">
        <f>IF(Raw_Data!E15&gt;=50,"PASS","FAIL")</f>
        <v/>
      </c>
      <c r="F15" s="9">
        <f>IF(Raw_Data!F15&gt;=1000000,"PASS","FAIL")</f>
        <v/>
      </c>
      <c r="G15" s="9">
        <f>IF(ISNUMBER(SEARCH("@",Raw_Data!G15)),"PASS","FAIL")</f>
        <v/>
      </c>
      <c r="H15" s="9">
        <f>IF(OR(Raw_Data!C15="North America",Raw_Data!C15="Europe",Raw_Data!C15="Asia Pacific"),"PASS","FAIL")</f>
        <v/>
      </c>
      <c r="I15" s="9">
        <f>IF(Raw_Data!H15&lt;=1500000,"PASS","FAIL")</f>
        <v/>
      </c>
      <c r="J15" s="9">
        <f>IF(Raw_Data!D15&gt;=5,"PASS","FAIL")</f>
        <v/>
      </c>
      <c r="K15" s="9">
        <f>IF(Raw_Data!F15&gt;=5000000,"PASS","FAIL")</f>
        <v/>
      </c>
      <c r="L15" s="9">
        <f>IF(AND(D15="PASS",E15="PASS",F15="PASS",G15="PASS",H15="PASS",I15="PASS",J15="PASS",K15="PASS"),"Qualified","Disqualified")</f>
        <v/>
      </c>
    </row>
    <row r="16">
      <c r="A16" s="5">
        <f>Raw_Data!A16</f>
        <v/>
      </c>
      <c r="B16" s="6">
        <f>Raw_Data!B16</f>
        <v/>
      </c>
      <c r="C16" s="6">
        <f>Raw_Data!C16</f>
        <v/>
      </c>
      <c r="D16" s="6">
        <f>IF(Raw_Data!D16&gt;=3,"PASS","FAIL")</f>
        <v/>
      </c>
      <c r="E16" s="6">
        <f>IF(Raw_Data!E16&gt;=50,"PASS","FAIL")</f>
        <v/>
      </c>
      <c r="F16" s="6">
        <f>IF(Raw_Data!F16&gt;=1000000,"PASS","FAIL")</f>
        <v/>
      </c>
      <c r="G16" s="6">
        <f>IF(ISNUMBER(SEARCH("@",Raw_Data!G16)),"PASS","FAIL")</f>
        <v/>
      </c>
      <c r="H16" s="6">
        <f>IF(OR(Raw_Data!C16="North America",Raw_Data!C16="Europe",Raw_Data!C16="Asia Pacific"),"PASS","FAIL")</f>
        <v/>
      </c>
      <c r="I16" s="6">
        <f>IF(Raw_Data!H16&lt;=1500000,"PASS","FAIL")</f>
        <v/>
      </c>
      <c r="J16" s="6">
        <f>IF(Raw_Data!D16&gt;=5,"PASS","FAIL")</f>
        <v/>
      </c>
      <c r="K16" s="6">
        <f>IF(Raw_Data!F16&gt;=5000000,"PASS","FAIL")</f>
        <v/>
      </c>
      <c r="L16" s="6">
        <f>IF(AND(D16="PASS",E16="PASS",F16="PASS",G16="PASS",H16="PASS",I16="PASS",J16="PASS",K16="PASS"),"Qualified","Disqualified")</f>
        <v/>
      </c>
    </row>
    <row r="17">
      <c r="A17" s="8">
        <f>Raw_Data!A17</f>
        <v/>
      </c>
      <c r="B17" s="9">
        <f>Raw_Data!B17</f>
        <v/>
      </c>
      <c r="C17" s="9">
        <f>Raw_Data!C17</f>
        <v/>
      </c>
      <c r="D17" s="9">
        <f>IF(Raw_Data!D17&gt;=3,"PASS","FAIL")</f>
        <v/>
      </c>
      <c r="E17" s="9">
        <f>IF(Raw_Data!E17&gt;=50,"PASS","FAIL")</f>
        <v/>
      </c>
      <c r="F17" s="9">
        <f>IF(Raw_Data!F17&gt;=1000000,"PASS","FAIL")</f>
        <v/>
      </c>
      <c r="G17" s="9">
        <f>IF(ISNUMBER(SEARCH("@",Raw_Data!G17)),"PASS","FAIL")</f>
        <v/>
      </c>
      <c r="H17" s="9">
        <f>IF(OR(Raw_Data!C17="North America",Raw_Data!C17="Europe",Raw_Data!C17="Asia Pacific"),"PASS","FAIL")</f>
        <v/>
      </c>
      <c r="I17" s="9">
        <f>IF(Raw_Data!H17&lt;=1500000,"PASS","FAIL")</f>
        <v/>
      </c>
      <c r="J17" s="9">
        <f>IF(Raw_Data!D17&gt;=5,"PASS","FAIL")</f>
        <v/>
      </c>
      <c r="K17" s="9">
        <f>IF(Raw_Data!F17&gt;=5000000,"PASS","FAIL")</f>
        <v/>
      </c>
      <c r="L17" s="9">
        <f>IF(AND(D17="PASS",E17="PASS",F17="PASS",G17="PASS",H17="PASS",I17="PASS",J17="PASS",K17="PASS"),"Qualified","Disqualified")</f>
        <v/>
      </c>
    </row>
    <row r="18">
      <c r="A18" s="5">
        <f>Raw_Data!A18</f>
        <v/>
      </c>
      <c r="B18" s="6">
        <f>Raw_Data!B18</f>
        <v/>
      </c>
      <c r="C18" s="6">
        <f>Raw_Data!C18</f>
        <v/>
      </c>
      <c r="D18" s="6">
        <f>IF(Raw_Data!D18&gt;=3,"PASS","FAIL")</f>
        <v/>
      </c>
      <c r="E18" s="6">
        <f>IF(Raw_Data!E18&gt;=50,"PASS","FAIL")</f>
        <v/>
      </c>
      <c r="F18" s="6">
        <f>IF(Raw_Data!F18&gt;=1000000,"PASS","FAIL")</f>
        <v/>
      </c>
      <c r="G18" s="6">
        <f>IF(ISNUMBER(SEARCH("@",Raw_Data!G18)),"PASS","FAIL")</f>
        <v/>
      </c>
      <c r="H18" s="6">
        <f>IF(OR(Raw_Data!C18="North America",Raw_Data!C18="Europe",Raw_Data!C18="Asia Pacific"),"PASS","FAIL")</f>
        <v/>
      </c>
      <c r="I18" s="6">
        <f>IF(Raw_Data!H18&lt;=1500000,"PASS","FAIL")</f>
        <v/>
      </c>
      <c r="J18" s="6">
        <f>IF(Raw_Data!D18&gt;=5,"PASS","FAIL")</f>
        <v/>
      </c>
      <c r="K18" s="6">
        <f>IF(Raw_Data!F18&gt;=5000000,"PASS","FAIL")</f>
        <v/>
      </c>
      <c r="L18" s="6">
        <f>IF(AND(D18="PASS",E18="PASS",F18="PASS",G18="PASS",H18="PASS",I18="PASS",J18="PASS",K18="PASS"),"Qualified","Disqualified")</f>
        <v/>
      </c>
    </row>
    <row r="19">
      <c r="A19" s="8">
        <f>Raw_Data!A19</f>
        <v/>
      </c>
      <c r="B19" s="9">
        <f>Raw_Data!B19</f>
        <v/>
      </c>
      <c r="C19" s="9">
        <f>Raw_Data!C19</f>
        <v/>
      </c>
      <c r="D19" s="9">
        <f>IF(Raw_Data!D19&gt;=3,"PASS","FAIL")</f>
        <v/>
      </c>
      <c r="E19" s="9">
        <f>IF(Raw_Data!E19&gt;=50,"PASS","FAIL")</f>
        <v/>
      </c>
      <c r="F19" s="9">
        <f>IF(Raw_Data!F19&gt;=1000000,"PASS","FAIL")</f>
        <v/>
      </c>
      <c r="G19" s="9">
        <f>IF(ISNUMBER(SEARCH("@",Raw_Data!G19)),"PASS","FAIL")</f>
        <v/>
      </c>
      <c r="H19" s="9">
        <f>IF(OR(Raw_Data!C19="North America",Raw_Data!C19="Europe",Raw_Data!C19="Asia Pacific"),"PASS","FAIL")</f>
        <v/>
      </c>
      <c r="I19" s="9">
        <f>IF(Raw_Data!H19&lt;=1500000,"PASS","FAIL")</f>
        <v/>
      </c>
      <c r="J19" s="9">
        <f>IF(Raw_Data!D19&gt;=5,"PASS","FAIL")</f>
        <v/>
      </c>
      <c r="K19" s="9">
        <f>IF(Raw_Data!F19&gt;=5000000,"PASS","FAIL")</f>
        <v/>
      </c>
      <c r="L19" s="9">
        <f>IF(AND(D19="PASS",E19="PASS",F19="PASS",G19="PASS",H19="PASS",I19="PASS",J19="PASS",K19="PASS"),"Qualified","Disqualified")</f>
        <v/>
      </c>
    </row>
    <row r="20">
      <c r="A20" s="5">
        <f>Raw_Data!A20</f>
        <v/>
      </c>
      <c r="B20" s="6">
        <f>Raw_Data!B20</f>
        <v/>
      </c>
      <c r="C20" s="6">
        <f>Raw_Data!C20</f>
        <v/>
      </c>
      <c r="D20" s="6">
        <f>IF(Raw_Data!D20&gt;=3,"PASS","FAIL")</f>
        <v/>
      </c>
      <c r="E20" s="6">
        <f>IF(Raw_Data!E20&gt;=50,"PASS","FAIL")</f>
        <v/>
      </c>
      <c r="F20" s="6">
        <f>IF(Raw_Data!F20&gt;=1000000,"PASS","FAIL")</f>
        <v/>
      </c>
      <c r="G20" s="6">
        <f>IF(ISNUMBER(SEARCH("@",Raw_Data!G20)),"PASS","FAIL")</f>
        <v/>
      </c>
      <c r="H20" s="6">
        <f>IF(OR(Raw_Data!C20="North America",Raw_Data!C20="Europe",Raw_Data!C20="Asia Pacific"),"PASS","FAIL")</f>
        <v/>
      </c>
      <c r="I20" s="6">
        <f>IF(Raw_Data!H20&lt;=1500000,"PASS","FAIL")</f>
        <v/>
      </c>
      <c r="J20" s="6">
        <f>IF(Raw_Data!D20&gt;=5,"PASS","FAIL")</f>
        <v/>
      </c>
      <c r="K20" s="6">
        <f>IF(Raw_Data!F20&gt;=5000000,"PASS","FAIL")</f>
        <v/>
      </c>
      <c r="L20" s="6">
        <f>IF(AND(D20="PASS",E20="PASS",F20="PASS",G20="PASS",H20="PASS",I20="PASS",J20="PASS",K20="PASS"),"Qualified","Disqualified")</f>
        <v/>
      </c>
    </row>
    <row r="21">
      <c r="A21" s="8">
        <f>Raw_Data!A21</f>
        <v/>
      </c>
      <c r="B21" s="9">
        <f>Raw_Data!B21</f>
        <v/>
      </c>
      <c r="C21" s="9">
        <f>Raw_Data!C21</f>
        <v/>
      </c>
      <c r="D21" s="9">
        <f>IF(Raw_Data!D21&gt;=3,"PASS","FAIL")</f>
        <v/>
      </c>
      <c r="E21" s="9">
        <f>IF(Raw_Data!E21&gt;=50,"PASS","FAIL")</f>
        <v/>
      </c>
      <c r="F21" s="9">
        <f>IF(Raw_Data!F21&gt;=1000000,"PASS","FAIL")</f>
        <v/>
      </c>
      <c r="G21" s="9">
        <f>IF(ISNUMBER(SEARCH("@",Raw_Data!G21)),"PASS","FAIL")</f>
        <v/>
      </c>
      <c r="H21" s="9">
        <f>IF(OR(Raw_Data!C21="North America",Raw_Data!C21="Europe",Raw_Data!C21="Asia Pacific"),"PASS","FAIL")</f>
        <v/>
      </c>
      <c r="I21" s="9">
        <f>IF(Raw_Data!H21&lt;=1500000,"PASS","FAIL")</f>
        <v/>
      </c>
      <c r="J21" s="9">
        <f>IF(Raw_Data!D21&gt;=5,"PASS","FAIL")</f>
        <v/>
      </c>
      <c r="K21" s="9">
        <f>IF(Raw_Data!F21&gt;=5000000,"PASS","FAIL")</f>
        <v/>
      </c>
      <c r="L21" s="9">
        <f>IF(AND(D21="PASS",E21="PASS",F21="PASS",G21="PASS",H21="PASS",I21="PASS",J21="PASS",K21="PASS"),"Qualified","Disqualified")</f>
        <v/>
      </c>
    </row>
    <row r="22">
      <c r="A22" s="5">
        <f>Raw_Data!A22</f>
        <v/>
      </c>
      <c r="B22" s="6">
        <f>Raw_Data!B22</f>
        <v/>
      </c>
      <c r="C22" s="6">
        <f>Raw_Data!C22</f>
        <v/>
      </c>
      <c r="D22" s="6">
        <f>IF(Raw_Data!D22&gt;=3,"PASS","FAIL")</f>
        <v/>
      </c>
      <c r="E22" s="6">
        <f>IF(Raw_Data!E22&gt;=50,"PASS","FAIL")</f>
        <v/>
      </c>
      <c r="F22" s="6">
        <f>IF(Raw_Data!F22&gt;=1000000,"PASS","FAIL")</f>
        <v/>
      </c>
      <c r="G22" s="6">
        <f>IF(ISNUMBER(SEARCH("@",Raw_Data!G22)),"PASS","FAIL")</f>
        <v/>
      </c>
      <c r="H22" s="6">
        <f>IF(OR(Raw_Data!C22="North America",Raw_Data!C22="Europe",Raw_Data!C22="Asia Pacific"),"PASS","FAIL")</f>
        <v/>
      </c>
      <c r="I22" s="6">
        <f>IF(Raw_Data!H22&lt;=1500000,"PASS","FAIL")</f>
        <v/>
      </c>
      <c r="J22" s="6">
        <f>IF(Raw_Data!D22&gt;=5,"PASS","FAIL")</f>
        <v/>
      </c>
      <c r="K22" s="6">
        <f>IF(Raw_Data!F22&gt;=5000000,"PASS","FAIL")</f>
        <v/>
      </c>
      <c r="L22" s="6">
        <f>IF(AND(D22="PASS",E22="PASS",F22="PASS",G22="PASS",H22="PASS",I22="PASS",J22="PASS",K22="PASS"),"Qualified","Disqualified")</f>
        <v/>
      </c>
    </row>
    <row r="23">
      <c r="A23" s="8">
        <f>Raw_Data!A23</f>
        <v/>
      </c>
      <c r="B23" s="9">
        <f>Raw_Data!B23</f>
        <v/>
      </c>
      <c r="C23" s="9">
        <f>Raw_Data!C23</f>
        <v/>
      </c>
      <c r="D23" s="9">
        <f>IF(Raw_Data!D23&gt;=3,"PASS","FAIL")</f>
        <v/>
      </c>
      <c r="E23" s="9">
        <f>IF(Raw_Data!E23&gt;=50,"PASS","FAIL")</f>
        <v/>
      </c>
      <c r="F23" s="9">
        <f>IF(Raw_Data!F23&gt;=1000000,"PASS","FAIL")</f>
        <v/>
      </c>
      <c r="G23" s="9">
        <f>IF(ISNUMBER(SEARCH("@",Raw_Data!G23)),"PASS","FAIL")</f>
        <v/>
      </c>
      <c r="H23" s="9">
        <f>IF(OR(Raw_Data!C23="North America",Raw_Data!C23="Europe",Raw_Data!C23="Asia Pacific"),"PASS","FAIL")</f>
        <v/>
      </c>
      <c r="I23" s="9">
        <f>IF(Raw_Data!H23&lt;=1500000,"PASS","FAIL")</f>
        <v/>
      </c>
      <c r="J23" s="9">
        <f>IF(Raw_Data!D23&gt;=5,"PASS","FAIL")</f>
        <v/>
      </c>
      <c r="K23" s="9">
        <f>IF(Raw_Data!F23&gt;=5000000,"PASS","FAIL")</f>
        <v/>
      </c>
      <c r="L23" s="9">
        <f>IF(AND(D23="PASS",E23="PASS",F23="PASS",G23="PASS",H23="PASS",I23="PASS",J23="PASS",K23="PASS"),"Qualified","Disqualified")</f>
        <v/>
      </c>
    </row>
    <row r="24">
      <c r="A24" s="5">
        <f>Raw_Data!A24</f>
        <v/>
      </c>
      <c r="B24" s="6">
        <f>Raw_Data!B24</f>
        <v/>
      </c>
      <c r="C24" s="6">
        <f>Raw_Data!C24</f>
        <v/>
      </c>
      <c r="D24" s="6">
        <f>IF(Raw_Data!D24&gt;=3,"PASS","FAIL")</f>
        <v/>
      </c>
      <c r="E24" s="6">
        <f>IF(Raw_Data!E24&gt;=50,"PASS","FAIL")</f>
        <v/>
      </c>
      <c r="F24" s="6">
        <f>IF(Raw_Data!F24&gt;=1000000,"PASS","FAIL")</f>
        <v/>
      </c>
      <c r="G24" s="6">
        <f>IF(ISNUMBER(SEARCH("@",Raw_Data!G24)),"PASS","FAIL")</f>
        <v/>
      </c>
      <c r="H24" s="6">
        <f>IF(OR(Raw_Data!C24="North America",Raw_Data!C24="Europe",Raw_Data!C24="Asia Pacific"),"PASS","FAIL")</f>
        <v/>
      </c>
      <c r="I24" s="6">
        <f>IF(Raw_Data!H24&lt;=1500000,"PASS","FAIL")</f>
        <v/>
      </c>
      <c r="J24" s="6">
        <f>IF(Raw_Data!D24&gt;=5,"PASS","FAIL")</f>
        <v/>
      </c>
      <c r="K24" s="6">
        <f>IF(Raw_Data!F24&gt;=5000000,"PASS","FAIL")</f>
        <v/>
      </c>
      <c r="L24" s="6">
        <f>IF(AND(D24="PASS",E24="PASS",F24="PASS",G24="PASS",H24="PASS",I24="PASS",J24="PASS",K24="PASS"),"Qualified","Disqualified")</f>
        <v/>
      </c>
    </row>
    <row r="25">
      <c r="A25" s="8">
        <f>Raw_Data!A25</f>
        <v/>
      </c>
      <c r="B25" s="9">
        <f>Raw_Data!B25</f>
        <v/>
      </c>
      <c r="C25" s="9">
        <f>Raw_Data!C25</f>
        <v/>
      </c>
      <c r="D25" s="9">
        <f>IF(Raw_Data!D25&gt;=3,"PASS","FAIL")</f>
        <v/>
      </c>
      <c r="E25" s="9">
        <f>IF(Raw_Data!E25&gt;=50,"PASS","FAIL")</f>
        <v/>
      </c>
      <c r="F25" s="9">
        <f>IF(Raw_Data!F25&gt;=1000000,"PASS","FAIL")</f>
        <v/>
      </c>
      <c r="G25" s="9">
        <f>IF(ISNUMBER(SEARCH("@",Raw_Data!G25)),"PASS","FAIL")</f>
        <v/>
      </c>
      <c r="H25" s="9">
        <f>IF(OR(Raw_Data!C25="North America",Raw_Data!C25="Europe",Raw_Data!C25="Asia Pacific"),"PASS","FAIL")</f>
        <v/>
      </c>
      <c r="I25" s="9">
        <f>IF(Raw_Data!H25&lt;=1500000,"PASS","FAIL")</f>
        <v/>
      </c>
      <c r="J25" s="9">
        <f>IF(Raw_Data!D25&gt;=5,"PASS","FAIL")</f>
        <v/>
      </c>
      <c r="K25" s="9">
        <f>IF(Raw_Data!F25&gt;=5000000,"PASS","FAIL")</f>
        <v/>
      </c>
      <c r="L25" s="9">
        <f>IF(AND(D25="PASS",E25="PASS",F25="PASS",G25="PASS",H25="PASS",I25="PASS",J25="PASS",K25="PASS"),"Qualified","Disqualified")</f>
        <v/>
      </c>
    </row>
    <row r="26">
      <c r="A26" s="5">
        <f>Raw_Data!A26</f>
        <v/>
      </c>
      <c r="B26" s="6">
        <f>Raw_Data!B26</f>
        <v/>
      </c>
      <c r="C26" s="6">
        <f>Raw_Data!C26</f>
        <v/>
      </c>
      <c r="D26" s="6">
        <f>IF(Raw_Data!D26&gt;=3,"PASS","FAIL")</f>
        <v/>
      </c>
      <c r="E26" s="6">
        <f>IF(Raw_Data!E26&gt;=50,"PASS","FAIL")</f>
        <v/>
      </c>
      <c r="F26" s="6">
        <f>IF(Raw_Data!F26&gt;=1000000,"PASS","FAIL")</f>
        <v/>
      </c>
      <c r="G26" s="6">
        <f>IF(ISNUMBER(SEARCH("@",Raw_Data!G26)),"PASS","FAIL")</f>
        <v/>
      </c>
      <c r="H26" s="6">
        <f>IF(OR(Raw_Data!C26="North America",Raw_Data!C26="Europe",Raw_Data!C26="Asia Pacific"),"PASS","FAIL")</f>
        <v/>
      </c>
      <c r="I26" s="6">
        <f>IF(Raw_Data!H26&lt;=1500000,"PASS","FAIL")</f>
        <v/>
      </c>
      <c r="J26" s="6">
        <f>IF(Raw_Data!D26&gt;=5,"PASS","FAIL")</f>
        <v/>
      </c>
      <c r="K26" s="6">
        <f>IF(Raw_Data!F26&gt;=5000000,"PASS","FAIL")</f>
        <v/>
      </c>
      <c r="L26" s="6">
        <f>IF(AND(D26="PASS",E26="PASS",F26="PASS",G26="PASS",H26="PASS",I26="PASS",J26="PASS",K26="PASS"),"Qualified","Disqualified")</f>
        <v/>
      </c>
    </row>
    <row r="27">
      <c r="A27" s="8">
        <f>Raw_Data!A27</f>
        <v/>
      </c>
      <c r="B27" s="9">
        <f>Raw_Data!B27</f>
        <v/>
      </c>
      <c r="C27" s="9">
        <f>Raw_Data!C27</f>
        <v/>
      </c>
      <c r="D27" s="9">
        <f>IF(Raw_Data!D27&gt;=3,"PASS","FAIL")</f>
        <v/>
      </c>
      <c r="E27" s="9">
        <f>IF(Raw_Data!E27&gt;=50,"PASS","FAIL")</f>
        <v/>
      </c>
      <c r="F27" s="9">
        <f>IF(Raw_Data!F27&gt;=1000000,"PASS","FAIL")</f>
        <v/>
      </c>
      <c r="G27" s="9">
        <f>IF(ISNUMBER(SEARCH("@",Raw_Data!G27)),"PASS","FAIL")</f>
        <v/>
      </c>
      <c r="H27" s="9">
        <f>IF(OR(Raw_Data!C27="North America",Raw_Data!C27="Europe",Raw_Data!C27="Asia Pacific"),"PASS","FAIL")</f>
        <v/>
      </c>
      <c r="I27" s="9">
        <f>IF(Raw_Data!H27&lt;=1500000,"PASS","FAIL")</f>
        <v/>
      </c>
      <c r="J27" s="9">
        <f>IF(Raw_Data!D27&gt;=5,"PASS","FAIL")</f>
        <v/>
      </c>
      <c r="K27" s="9">
        <f>IF(Raw_Data!F27&gt;=5000000,"PASS","FAIL")</f>
        <v/>
      </c>
      <c r="L27" s="9">
        <f>IF(AND(D27="PASS",E27="PASS",F27="PASS",G27="PASS",H27="PASS",I27="PASS",J27="PASS",K27="PASS"),"Qualified","Disqualified")</f>
        <v/>
      </c>
    </row>
    <row r="28">
      <c r="A28" s="5">
        <f>Raw_Data!A28</f>
        <v/>
      </c>
      <c r="B28" s="6">
        <f>Raw_Data!B28</f>
        <v/>
      </c>
      <c r="C28" s="6">
        <f>Raw_Data!C28</f>
        <v/>
      </c>
      <c r="D28" s="6">
        <f>IF(Raw_Data!D28&gt;=3,"PASS","FAIL")</f>
        <v/>
      </c>
      <c r="E28" s="6">
        <f>IF(Raw_Data!E28&gt;=50,"PASS","FAIL")</f>
        <v/>
      </c>
      <c r="F28" s="6">
        <f>IF(Raw_Data!F28&gt;=1000000,"PASS","FAIL")</f>
        <v/>
      </c>
      <c r="G28" s="6">
        <f>IF(ISNUMBER(SEARCH("@",Raw_Data!G28)),"PASS","FAIL")</f>
        <v/>
      </c>
      <c r="H28" s="6">
        <f>IF(OR(Raw_Data!C28="North America",Raw_Data!C28="Europe",Raw_Data!C28="Asia Pacific"),"PASS","FAIL")</f>
        <v/>
      </c>
      <c r="I28" s="6">
        <f>IF(Raw_Data!H28&lt;=1500000,"PASS","FAIL")</f>
        <v/>
      </c>
      <c r="J28" s="6">
        <f>IF(Raw_Data!D28&gt;=5,"PASS","FAIL")</f>
        <v/>
      </c>
      <c r="K28" s="6">
        <f>IF(Raw_Data!F28&gt;=5000000,"PASS","FAIL")</f>
        <v/>
      </c>
      <c r="L28" s="6">
        <f>IF(AND(D28="PASS",E28="PASS",F28="PASS",G28="PASS",H28="PASS",I28="PASS",J28="PASS",K28="PASS"),"Qualified","Disqualified")</f>
        <v/>
      </c>
    </row>
    <row r="29">
      <c r="A29" s="8">
        <f>Raw_Data!A29</f>
        <v/>
      </c>
      <c r="B29" s="9">
        <f>Raw_Data!B29</f>
        <v/>
      </c>
      <c r="C29" s="9">
        <f>Raw_Data!C29</f>
        <v/>
      </c>
      <c r="D29" s="9">
        <f>IF(Raw_Data!D29&gt;=3,"PASS","FAIL")</f>
        <v/>
      </c>
      <c r="E29" s="9">
        <f>IF(Raw_Data!E29&gt;=50,"PASS","FAIL")</f>
        <v/>
      </c>
      <c r="F29" s="9">
        <f>IF(Raw_Data!F29&gt;=1000000,"PASS","FAIL")</f>
        <v/>
      </c>
      <c r="G29" s="9">
        <f>IF(ISNUMBER(SEARCH("@",Raw_Data!G29)),"PASS","FAIL")</f>
        <v/>
      </c>
      <c r="H29" s="9">
        <f>IF(OR(Raw_Data!C29="North America",Raw_Data!C29="Europe",Raw_Data!C29="Asia Pacific"),"PASS","FAIL")</f>
        <v/>
      </c>
      <c r="I29" s="9">
        <f>IF(Raw_Data!H29&lt;=1500000,"PASS","FAIL")</f>
        <v/>
      </c>
      <c r="J29" s="9">
        <f>IF(Raw_Data!D29&gt;=5,"PASS","FAIL")</f>
        <v/>
      </c>
      <c r="K29" s="9">
        <f>IF(Raw_Data!F29&gt;=5000000,"PASS","FAIL")</f>
        <v/>
      </c>
      <c r="L29" s="9">
        <f>IF(AND(D29="PASS",E29="PASS",F29="PASS",G29="PASS",H29="PASS",I29="PASS",J29="PASS",K29="PASS"),"Qualified","Disqualified")</f>
        <v/>
      </c>
    </row>
    <row r="30">
      <c r="A30" s="5">
        <f>Raw_Data!A30</f>
        <v/>
      </c>
      <c r="B30" s="6">
        <f>Raw_Data!B30</f>
        <v/>
      </c>
      <c r="C30" s="6">
        <f>Raw_Data!C30</f>
        <v/>
      </c>
      <c r="D30" s="6">
        <f>IF(Raw_Data!D30&gt;=3,"PASS","FAIL")</f>
        <v/>
      </c>
      <c r="E30" s="6">
        <f>IF(Raw_Data!E30&gt;=50,"PASS","FAIL")</f>
        <v/>
      </c>
      <c r="F30" s="6">
        <f>IF(Raw_Data!F30&gt;=1000000,"PASS","FAIL")</f>
        <v/>
      </c>
      <c r="G30" s="6">
        <f>IF(ISNUMBER(SEARCH("@",Raw_Data!G30)),"PASS","FAIL")</f>
        <v/>
      </c>
      <c r="H30" s="6">
        <f>IF(OR(Raw_Data!C30="North America",Raw_Data!C30="Europe",Raw_Data!C30="Asia Pacific"),"PASS","FAIL")</f>
        <v/>
      </c>
      <c r="I30" s="6">
        <f>IF(Raw_Data!H30&lt;=1500000,"PASS","FAIL")</f>
        <v/>
      </c>
      <c r="J30" s="6">
        <f>IF(Raw_Data!D30&gt;=5,"PASS","FAIL")</f>
        <v/>
      </c>
      <c r="K30" s="6">
        <f>IF(Raw_Data!F30&gt;=5000000,"PASS","FAIL")</f>
        <v/>
      </c>
      <c r="L30" s="6">
        <f>IF(AND(D30="PASS",E30="PASS",F30="PASS",G30="PASS",H30="PASS",I30="PASS",J30="PASS",K30="PASS"),"Qualified","Disqualified")</f>
        <v/>
      </c>
    </row>
    <row r="31">
      <c r="A31" s="8">
        <f>Raw_Data!A31</f>
        <v/>
      </c>
      <c r="B31" s="9">
        <f>Raw_Data!B31</f>
        <v/>
      </c>
      <c r="C31" s="9">
        <f>Raw_Data!C31</f>
        <v/>
      </c>
      <c r="D31" s="9">
        <f>IF(Raw_Data!D31&gt;=3,"PASS","FAIL")</f>
        <v/>
      </c>
      <c r="E31" s="9">
        <f>IF(Raw_Data!E31&gt;=50,"PASS","FAIL")</f>
        <v/>
      </c>
      <c r="F31" s="9">
        <f>IF(Raw_Data!F31&gt;=1000000,"PASS","FAIL")</f>
        <v/>
      </c>
      <c r="G31" s="9">
        <f>IF(ISNUMBER(SEARCH("@",Raw_Data!G31)),"PASS","FAIL")</f>
        <v/>
      </c>
      <c r="H31" s="9">
        <f>IF(OR(Raw_Data!C31="North America",Raw_Data!C31="Europe",Raw_Data!C31="Asia Pacific"),"PASS","FAIL")</f>
        <v/>
      </c>
      <c r="I31" s="9">
        <f>IF(Raw_Data!H31&lt;=1500000,"PASS","FAIL")</f>
        <v/>
      </c>
      <c r="J31" s="9">
        <f>IF(Raw_Data!D31&gt;=5,"PASS","FAIL")</f>
        <v/>
      </c>
      <c r="K31" s="9">
        <f>IF(Raw_Data!F31&gt;=5000000,"PASS","FAIL")</f>
        <v/>
      </c>
      <c r="L31" s="9">
        <f>IF(AND(D31="PASS",E31="PASS",F31="PASS",G31="PASS",H31="PASS",I31="PASS",J31="PASS",K31="PASS"),"Qualified","Disqualified")</f>
        <v/>
      </c>
    </row>
    <row r="32">
      <c r="A32" s="5">
        <f>Raw_Data!A32</f>
        <v/>
      </c>
      <c r="B32" s="6">
        <f>Raw_Data!B32</f>
        <v/>
      </c>
      <c r="C32" s="6">
        <f>Raw_Data!C32</f>
        <v/>
      </c>
      <c r="D32" s="6">
        <f>IF(Raw_Data!D32&gt;=3,"PASS","FAIL")</f>
        <v/>
      </c>
      <c r="E32" s="6">
        <f>IF(Raw_Data!E32&gt;=50,"PASS","FAIL")</f>
        <v/>
      </c>
      <c r="F32" s="6">
        <f>IF(Raw_Data!F32&gt;=1000000,"PASS","FAIL")</f>
        <v/>
      </c>
      <c r="G32" s="6">
        <f>IF(ISNUMBER(SEARCH("@",Raw_Data!G32)),"PASS","FAIL")</f>
        <v/>
      </c>
      <c r="H32" s="6">
        <f>IF(OR(Raw_Data!C32="North America",Raw_Data!C32="Europe",Raw_Data!C32="Asia Pacific"),"PASS","FAIL")</f>
        <v/>
      </c>
      <c r="I32" s="6">
        <f>IF(Raw_Data!H32&lt;=1500000,"PASS","FAIL")</f>
        <v/>
      </c>
      <c r="J32" s="6">
        <f>IF(Raw_Data!D32&gt;=5,"PASS","FAIL")</f>
        <v/>
      </c>
      <c r="K32" s="6">
        <f>IF(Raw_Data!F32&gt;=5000000,"PASS","FAIL")</f>
        <v/>
      </c>
      <c r="L32" s="6">
        <f>IF(AND(D32="PASS",E32="PASS",F32="PASS",G32="PASS",H32="PASS",I32="PASS",J32="PASS",K32="PASS"),"Qualified","Disqualified")</f>
        <v/>
      </c>
    </row>
    <row r="33">
      <c r="A33" s="8">
        <f>Raw_Data!A33</f>
        <v/>
      </c>
      <c r="B33" s="9">
        <f>Raw_Data!B33</f>
        <v/>
      </c>
      <c r="C33" s="9">
        <f>Raw_Data!C33</f>
        <v/>
      </c>
      <c r="D33" s="9">
        <f>IF(Raw_Data!D33&gt;=3,"PASS","FAIL")</f>
        <v/>
      </c>
      <c r="E33" s="9">
        <f>IF(Raw_Data!E33&gt;=50,"PASS","FAIL")</f>
        <v/>
      </c>
      <c r="F33" s="9">
        <f>IF(Raw_Data!F33&gt;=1000000,"PASS","FAIL")</f>
        <v/>
      </c>
      <c r="G33" s="9">
        <f>IF(ISNUMBER(SEARCH("@",Raw_Data!G33)),"PASS","FAIL")</f>
        <v/>
      </c>
      <c r="H33" s="9">
        <f>IF(OR(Raw_Data!C33="North America",Raw_Data!C33="Europe",Raw_Data!C33="Asia Pacific"),"PASS","FAIL")</f>
        <v/>
      </c>
      <c r="I33" s="9">
        <f>IF(Raw_Data!H33&lt;=1500000,"PASS","FAIL")</f>
        <v/>
      </c>
      <c r="J33" s="9">
        <f>IF(Raw_Data!D33&gt;=5,"PASS","FAIL")</f>
        <v/>
      </c>
      <c r="K33" s="9">
        <f>IF(Raw_Data!F33&gt;=5000000,"PASS","FAIL")</f>
        <v/>
      </c>
      <c r="L33" s="9">
        <f>IF(AND(D33="PASS",E33="PASS",F33="PASS",G33="PASS",H33="PASS",I33="PASS",J33="PASS",K33="PASS"),"Qualified","Disqualified")</f>
        <v/>
      </c>
    </row>
    <row r="34">
      <c r="A34" s="5">
        <f>Raw_Data!A34</f>
        <v/>
      </c>
      <c r="B34" s="6">
        <f>Raw_Data!B34</f>
        <v/>
      </c>
      <c r="C34" s="6">
        <f>Raw_Data!C34</f>
        <v/>
      </c>
      <c r="D34" s="6">
        <f>IF(Raw_Data!D34&gt;=3,"PASS","FAIL")</f>
        <v/>
      </c>
      <c r="E34" s="6">
        <f>IF(Raw_Data!E34&gt;=50,"PASS","FAIL")</f>
        <v/>
      </c>
      <c r="F34" s="6">
        <f>IF(Raw_Data!F34&gt;=1000000,"PASS","FAIL")</f>
        <v/>
      </c>
      <c r="G34" s="6">
        <f>IF(ISNUMBER(SEARCH("@",Raw_Data!G34)),"PASS","FAIL")</f>
        <v/>
      </c>
      <c r="H34" s="6">
        <f>IF(OR(Raw_Data!C34="North America",Raw_Data!C34="Europe",Raw_Data!C34="Asia Pacific"),"PASS","FAIL")</f>
        <v/>
      </c>
      <c r="I34" s="6">
        <f>IF(Raw_Data!H34&lt;=1500000,"PASS","FAIL")</f>
        <v/>
      </c>
      <c r="J34" s="6">
        <f>IF(Raw_Data!D34&gt;=5,"PASS","FAIL")</f>
        <v/>
      </c>
      <c r="K34" s="6">
        <f>IF(Raw_Data!F34&gt;=5000000,"PASS","FAIL")</f>
        <v/>
      </c>
      <c r="L34" s="6">
        <f>IF(AND(D34="PASS",E34="PASS",F34="PASS",G34="PASS",H34="PASS",I34="PASS",J34="PASS",K34="PASS"),"Qualified","Disqualified")</f>
        <v/>
      </c>
    </row>
    <row r="35">
      <c r="A35" s="8">
        <f>Raw_Data!A35</f>
        <v/>
      </c>
      <c r="B35" s="9">
        <f>Raw_Data!B35</f>
        <v/>
      </c>
      <c r="C35" s="9">
        <f>Raw_Data!C35</f>
        <v/>
      </c>
      <c r="D35" s="9">
        <f>IF(Raw_Data!D35&gt;=3,"PASS","FAIL")</f>
        <v/>
      </c>
      <c r="E35" s="9">
        <f>IF(Raw_Data!E35&gt;=50,"PASS","FAIL")</f>
        <v/>
      </c>
      <c r="F35" s="9">
        <f>IF(Raw_Data!F35&gt;=1000000,"PASS","FAIL")</f>
        <v/>
      </c>
      <c r="G35" s="9">
        <f>IF(ISNUMBER(SEARCH("@",Raw_Data!G35)),"PASS","FAIL")</f>
        <v/>
      </c>
      <c r="H35" s="9">
        <f>IF(OR(Raw_Data!C35="North America",Raw_Data!C35="Europe",Raw_Data!C35="Asia Pacific"),"PASS","FAIL")</f>
        <v/>
      </c>
      <c r="I35" s="9">
        <f>IF(Raw_Data!H35&lt;=1500000,"PASS","FAIL")</f>
        <v/>
      </c>
      <c r="J35" s="9">
        <f>IF(Raw_Data!D35&gt;=5,"PASS","FAIL")</f>
        <v/>
      </c>
      <c r="K35" s="9">
        <f>IF(Raw_Data!F35&gt;=5000000,"PASS","FAIL")</f>
        <v/>
      </c>
      <c r="L35" s="9">
        <f>IF(AND(D35="PASS",E35="PASS",F35="PASS",G35="PASS",H35="PASS",I35="PASS",J35="PASS",K35="PASS"),"Qualified","Disqualified")</f>
        <v/>
      </c>
    </row>
    <row r="36">
      <c r="A36" s="5">
        <f>Raw_Data!A36</f>
        <v/>
      </c>
      <c r="B36" s="6">
        <f>Raw_Data!B36</f>
        <v/>
      </c>
      <c r="C36" s="6">
        <f>Raw_Data!C36</f>
        <v/>
      </c>
      <c r="D36" s="6">
        <f>IF(Raw_Data!D36&gt;=3,"PASS","FAIL")</f>
        <v/>
      </c>
      <c r="E36" s="6">
        <f>IF(Raw_Data!E36&gt;=50,"PASS","FAIL")</f>
        <v/>
      </c>
      <c r="F36" s="6">
        <f>IF(Raw_Data!F36&gt;=1000000,"PASS","FAIL")</f>
        <v/>
      </c>
      <c r="G36" s="6">
        <f>IF(ISNUMBER(SEARCH("@",Raw_Data!G36)),"PASS","FAIL")</f>
        <v/>
      </c>
      <c r="H36" s="6">
        <f>IF(OR(Raw_Data!C36="North America",Raw_Data!C36="Europe",Raw_Data!C36="Asia Pacific"),"PASS","FAIL")</f>
        <v/>
      </c>
      <c r="I36" s="6">
        <f>IF(Raw_Data!H36&lt;=1500000,"PASS","FAIL")</f>
        <v/>
      </c>
      <c r="J36" s="6">
        <f>IF(Raw_Data!D36&gt;=5,"PASS","FAIL")</f>
        <v/>
      </c>
      <c r="K36" s="6">
        <f>IF(Raw_Data!F36&gt;=5000000,"PASS","FAIL")</f>
        <v/>
      </c>
      <c r="L36" s="6">
        <f>IF(AND(D36="PASS",E36="PASS",F36="PASS",G36="PASS",H36="PASS",I36="PASS",J36="PASS",K36="PASS"),"Qualified","Disqualified")</f>
        <v/>
      </c>
    </row>
    <row r="37">
      <c r="A37" s="8">
        <f>Raw_Data!A37</f>
        <v/>
      </c>
      <c r="B37" s="9">
        <f>Raw_Data!B37</f>
        <v/>
      </c>
      <c r="C37" s="9">
        <f>Raw_Data!C37</f>
        <v/>
      </c>
      <c r="D37" s="9">
        <f>IF(Raw_Data!D37&gt;=3,"PASS","FAIL")</f>
        <v/>
      </c>
      <c r="E37" s="9">
        <f>IF(Raw_Data!E37&gt;=50,"PASS","FAIL")</f>
        <v/>
      </c>
      <c r="F37" s="9">
        <f>IF(Raw_Data!F37&gt;=1000000,"PASS","FAIL")</f>
        <v/>
      </c>
      <c r="G37" s="9">
        <f>IF(ISNUMBER(SEARCH("@",Raw_Data!G37)),"PASS","FAIL")</f>
        <v/>
      </c>
      <c r="H37" s="9">
        <f>IF(OR(Raw_Data!C37="North America",Raw_Data!C37="Europe",Raw_Data!C37="Asia Pacific"),"PASS","FAIL")</f>
        <v/>
      </c>
      <c r="I37" s="9">
        <f>IF(Raw_Data!H37&lt;=1500000,"PASS","FAIL")</f>
        <v/>
      </c>
      <c r="J37" s="9">
        <f>IF(Raw_Data!D37&gt;=5,"PASS","FAIL")</f>
        <v/>
      </c>
      <c r="K37" s="9">
        <f>IF(Raw_Data!F37&gt;=5000000,"PASS","FAIL")</f>
        <v/>
      </c>
      <c r="L37" s="9">
        <f>IF(AND(D37="PASS",E37="PASS",F37="PASS",G37="PASS",H37="PASS",I37="PASS",J37="PASS",K37="PASS"),"Qualified","Disqualified")</f>
        <v/>
      </c>
    </row>
    <row r="38">
      <c r="A38" s="5">
        <f>Raw_Data!A38</f>
        <v/>
      </c>
      <c r="B38" s="6">
        <f>Raw_Data!B38</f>
        <v/>
      </c>
      <c r="C38" s="6">
        <f>Raw_Data!C38</f>
        <v/>
      </c>
      <c r="D38" s="6">
        <f>IF(Raw_Data!D38&gt;=3,"PASS","FAIL")</f>
        <v/>
      </c>
      <c r="E38" s="6">
        <f>IF(Raw_Data!E38&gt;=50,"PASS","FAIL")</f>
        <v/>
      </c>
      <c r="F38" s="6">
        <f>IF(Raw_Data!F38&gt;=1000000,"PASS","FAIL")</f>
        <v/>
      </c>
      <c r="G38" s="6">
        <f>IF(ISNUMBER(SEARCH("@",Raw_Data!G38)),"PASS","FAIL")</f>
        <v/>
      </c>
      <c r="H38" s="6">
        <f>IF(OR(Raw_Data!C38="North America",Raw_Data!C38="Europe",Raw_Data!C38="Asia Pacific"),"PASS","FAIL")</f>
        <v/>
      </c>
      <c r="I38" s="6">
        <f>IF(Raw_Data!H38&lt;=1500000,"PASS","FAIL")</f>
        <v/>
      </c>
      <c r="J38" s="6">
        <f>IF(Raw_Data!D38&gt;=5,"PASS","FAIL")</f>
        <v/>
      </c>
      <c r="K38" s="6">
        <f>IF(Raw_Data!F38&gt;=5000000,"PASS","FAIL")</f>
        <v/>
      </c>
      <c r="L38" s="6">
        <f>IF(AND(D38="PASS",E38="PASS",F38="PASS",G38="PASS",H38="PASS",I38="PASS",J38="PASS",K38="PASS"),"Qualified","Disqualified")</f>
        <v/>
      </c>
    </row>
    <row r="39">
      <c r="A39" s="8">
        <f>Raw_Data!A39</f>
        <v/>
      </c>
      <c r="B39" s="9">
        <f>Raw_Data!B39</f>
        <v/>
      </c>
      <c r="C39" s="9">
        <f>Raw_Data!C39</f>
        <v/>
      </c>
      <c r="D39" s="9">
        <f>IF(Raw_Data!D39&gt;=3,"PASS","FAIL")</f>
        <v/>
      </c>
      <c r="E39" s="9">
        <f>IF(Raw_Data!E39&gt;=50,"PASS","FAIL")</f>
        <v/>
      </c>
      <c r="F39" s="9">
        <f>IF(Raw_Data!F39&gt;=1000000,"PASS","FAIL")</f>
        <v/>
      </c>
      <c r="G39" s="9">
        <f>IF(ISNUMBER(SEARCH("@",Raw_Data!G39)),"PASS","FAIL")</f>
        <v/>
      </c>
      <c r="H39" s="9">
        <f>IF(OR(Raw_Data!C39="North America",Raw_Data!C39="Europe",Raw_Data!C39="Asia Pacific"),"PASS","FAIL")</f>
        <v/>
      </c>
      <c r="I39" s="9">
        <f>IF(Raw_Data!H39&lt;=1500000,"PASS","FAIL")</f>
        <v/>
      </c>
      <c r="J39" s="9">
        <f>IF(Raw_Data!D39&gt;=5,"PASS","FAIL")</f>
        <v/>
      </c>
      <c r="K39" s="9">
        <f>IF(Raw_Data!F39&gt;=5000000,"PASS","FAIL")</f>
        <v/>
      </c>
      <c r="L39" s="9">
        <f>IF(AND(D39="PASS",E39="PASS",F39="PASS",G39="PASS",H39="PASS",I39="PASS",J39="PASS",K39="PASS"),"Qualified","Disqualified")</f>
        <v/>
      </c>
    </row>
    <row r="40">
      <c r="A40" s="5">
        <f>Raw_Data!A40</f>
        <v/>
      </c>
      <c r="B40" s="6">
        <f>Raw_Data!B40</f>
        <v/>
      </c>
      <c r="C40" s="6">
        <f>Raw_Data!C40</f>
        <v/>
      </c>
      <c r="D40" s="6">
        <f>IF(Raw_Data!D40&gt;=3,"PASS","FAIL")</f>
        <v/>
      </c>
      <c r="E40" s="6">
        <f>IF(Raw_Data!E40&gt;=50,"PASS","FAIL")</f>
        <v/>
      </c>
      <c r="F40" s="6">
        <f>IF(Raw_Data!F40&gt;=1000000,"PASS","FAIL")</f>
        <v/>
      </c>
      <c r="G40" s="6">
        <f>IF(ISNUMBER(SEARCH("@",Raw_Data!G40)),"PASS","FAIL")</f>
        <v/>
      </c>
      <c r="H40" s="6">
        <f>IF(OR(Raw_Data!C40="North America",Raw_Data!C40="Europe",Raw_Data!C40="Asia Pacific"),"PASS","FAIL")</f>
        <v/>
      </c>
      <c r="I40" s="6">
        <f>IF(Raw_Data!H40&lt;=1500000,"PASS","FAIL")</f>
        <v/>
      </c>
      <c r="J40" s="6">
        <f>IF(Raw_Data!D40&gt;=5,"PASS","FAIL")</f>
        <v/>
      </c>
      <c r="K40" s="6">
        <f>IF(Raw_Data!F40&gt;=5000000,"PASS","FAIL")</f>
        <v/>
      </c>
      <c r="L40" s="6">
        <f>IF(AND(D40="PASS",E40="PASS",F40="PASS",G40="PASS",H40="PASS",I40="PASS",J40="PASS",K40="PASS"),"Qualified","Disqualified")</f>
        <v/>
      </c>
    </row>
    <row r="41">
      <c r="A41" s="8">
        <f>Raw_Data!A41</f>
        <v/>
      </c>
      <c r="B41" s="9">
        <f>Raw_Data!B41</f>
        <v/>
      </c>
      <c r="C41" s="9">
        <f>Raw_Data!C41</f>
        <v/>
      </c>
      <c r="D41" s="9">
        <f>IF(Raw_Data!D41&gt;=3,"PASS","FAIL")</f>
        <v/>
      </c>
      <c r="E41" s="9">
        <f>IF(Raw_Data!E41&gt;=50,"PASS","FAIL")</f>
        <v/>
      </c>
      <c r="F41" s="9">
        <f>IF(Raw_Data!F41&gt;=1000000,"PASS","FAIL")</f>
        <v/>
      </c>
      <c r="G41" s="9">
        <f>IF(ISNUMBER(SEARCH("@",Raw_Data!G41)),"PASS","FAIL")</f>
        <v/>
      </c>
      <c r="H41" s="9">
        <f>IF(OR(Raw_Data!C41="North America",Raw_Data!C41="Europe",Raw_Data!C41="Asia Pacific"),"PASS","FAIL")</f>
        <v/>
      </c>
      <c r="I41" s="9">
        <f>IF(Raw_Data!H41&lt;=1500000,"PASS","FAIL")</f>
        <v/>
      </c>
      <c r="J41" s="9">
        <f>IF(Raw_Data!D41&gt;=5,"PASS","FAIL")</f>
        <v/>
      </c>
      <c r="K41" s="9">
        <f>IF(Raw_Data!F41&gt;=5000000,"PASS","FAIL")</f>
        <v/>
      </c>
      <c r="L41" s="9">
        <f>IF(AND(D41="PASS",E41="PASS",F41="PASS",G41="PASS",H41="PASS",I41="PASS",J41="PASS",K41="PASS"),"Qualified","Disqualified")</f>
        <v/>
      </c>
    </row>
    <row r="42">
      <c r="A42" s="5">
        <f>Raw_Data!A42</f>
        <v/>
      </c>
      <c r="B42" s="6">
        <f>Raw_Data!B42</f>
        <v/>
      </c>
      <c r="C42" s="6">
        <f>Raw_Data!C42</f>
        <v/>
      </c>
      <c r="D42" s="6">
        <f>IF(Raw_Data!D42&gt;=3,"PASS","FAIL")</f>
        <v/>
      </c>
      <c r="E42" s="6">
        <f>IF(Raw_Data!E42&gt;=50,"PASS","FAIL")</f>
        <v/>
      </c>
      <c r="F42" s="6">
        <f>IF(Raw_Data!F42&gt;=1000000,"PASS","FAIL")</f>
        <v/>
      </c>
      <c r="G42" s="6">
        <f>IF(ISNUMBER(SEARCH("@",Raw_Data!G42)),"PASS","FAIL")</f>
        <v/>
      </c>
      <c r="H42" s="6">
        <f>IF(OR(Raw_Data!C42="North America",Raw_Data!C42="Europe",Raw_Data!C42="Asia Pacific"),"PASS","FAIL")</f>
        <v/>
      </c>
      <c r="I42" s="6">
        <f>IF(Raw_Data!H42&lt;=1500000,"PASS","FAIL")</f>
        <v/>
      </c>
      <c r="J42" s="6">
        <f>IF(Raw_Data!D42&gt;=5,"PASS","FAIL")</f>
        <v/>
      </c>
      <c r="K42" s="6">
        <f>IF(Raw_Data!F42&gt;=5000000,"PASS","FAIL")</f>
        <v/>
      </c>
      <c r="L42" s="6">
        <f>IF(AND(D42="PASS",E42="PASS",F42="PASS",G42="PASS",H42="PASS",I42="PASS",J42="PASS",K42="PASS"),"Qualified","Disqualified")</f>
        <v/>
      </c>
    </row>
    <row r="43">
      <c r="A43" s="8">
        <f>Raw_Data!A43</f>
        <v/>
      </c>
      <c r="B43" s="9">
        <f>Raw_Data!B43</f>
        <v/>
      </c>
      <c r="C43" s="9">
        <f>Raw_Data!C43</f>
        <v/>
      </c>
      <c r="D43" s="9">
        <f>IF(Raw_Data!D43&gt;=3,"PASS","FAIL")</f>
        <v/>
      </c>
      <c r="E43" s="9">
        <f>IF(Raw_Data!E43&gt;=50,"PASS","FAIL")</f>
        <v/>
      </c>
      <c r="F43" s="9">
        <f>IF(Raw_Data!F43&gt;=1000000,"PASS","FAIL")</f>
        <v/>
      </c>
      <c r="G43" s="9">
        <f>IF(ISNUMBER(SEARCH("@",Raw_Data!G43)),"PASS","FAIL")</f>
        <v/>
      </c>
      <c r="H43" s="9">
        <f>IF(OR(Raw_Data!C43="North America",Raw_Data!C43="Europe",Raw_Data!C43="Asia Pacific"),"PASS","FAIL")</f>
        <v/>
      </c>
      <c r="I43" s="9">
        <f>IF(Raw_Data!H43&lt;=1500000,"PASS","FAIL")</f>
        <v/>
      </c>
      <c r="J43" s="9">
        <f>IF(Raw_Data!D43&gt;=5,"PASS","FAIL")</f>
        <v/>
      </c>
      <c r="K43" s="9">
        <f>IF(Raw_Data!F43&gt;=5000000,"PASS","FAIL")</f>
        <v/>
      </c>
      <c r="L43" s="9">
        <f>IF(AND(D43="PASS",E43="PASS",F43="PASS",G43="PASS",H43="PASS",I43="PASS",J43="PASS",K43="PASS"),"Qualified","Disqualified")</f>
        <v/>
      </c>
    </row>
    <row r="44">
      <c r="A44" s="5">
        <f>Raw_Data!A44</f>
        <v/>
      </c>
      <c r="B44" s="6">
        <f>Raw_Data!B44</f>
        <v/>
      </c>
      <c r="C44" s="6">
        <f>Raw_Data!C44</f>
        <v/>
      </c>
      <c r="D44" s="6">
        <f>IF(Raw_Data!D44&gt;=3,"PASS","FAIL")</f>
        <v/>
      </c>
      <c r="E44" s="6">
        <f>IF(Raw_Data!E44&gt;=50,"PASS","FAIL")</f>
        <v/>
      </c>
      <c r="F44" s="6">
        <f>IF(Raw_Data!F44&gt;=1000000,"PASS","FAIL")</f>
        <v/>
      </c>
      <c r="G44" s="6">
        <f>IF(ISNUMBER(SEARCH("@",Raw_Data!G44)),"PASS","FAIL")</f>
        <v/>
      </c>
      <c r="H44" s="6">
        <f>IF(OR(Raw_Data!C44="North America",Raw_Data!C44="Europe",Raw_Data!C44="Asia Pacific"),"PASS","FAIL")</f>
        <v/>
      </c>
      <c r="I44" s="6">
        <f>IF(Raw_Data!H44&lt;=1500000,"PASS","FAIL")</f>
        <v/>
      </c>
      <c r="J44" s="6">
        <f>IF(Raw_Data!D44&gt;=5,"PASS","FAIL")</f>
        <v/>
      </c>
      <c r="K44" s="6">
        <f>IF(Raw_Data!F44&gt;=5000000,"PASS","FAIL")</f>
        <v/>
      </c>
      <c r="L44" s="6">
        <f>IF(AND(D44="PASS",E44="PASS",F44="PASS",G44="PASS",H44="PASS",I44="PASS",J44="PASS",K44="PASS"),"Qualified","Disqualified")</f>
        <v/>
      </c>
    </row>
    <row r="45">
      <c r="A45" s="8">
        <f>Raw_Data!A45</f>
        <v/>
      </c>
      <c r="B45" s="9">
        <f>Raw_Data!B45</f>
        <v/>
      </c>
      <c r="C45" s="9">
        <f>Raw_Data!C45</f>
        <v/>
      </c>
      <c r="D45" s="9">
        <f>IF(Raw_Data!D45&gt;=3,"PASS","FAIL")</f>
        <v/>
      </c>
      <c r="E45" s="9">
        <f>IF(Raw_Data!E45&gt;=50,"PASS","FAIL")</f>
        <v/>
      </c>
      <c r="F45" s="9">
        <f>IF(Raw_Data!F45&gt;=1000000,"PASS","FAIL")</f>
        <v/>
      </c>
      <c r="G45" s="9">
        <f>IF(ISNUMBER(SEARCH("@",Raw_Data!G45)),"PASS","FAIL")</f>
        <v/>
      </c>
      <c r="H45" s="9">
        <f>IF(OR(Raw_Data!C45="North America",Raw_Data!C45="Europe",Raw_Data!C45="Asia Pacific"),"PASS","FAIL")</f>
        <v/>
      </c>
      <c r="I45" s="9">
        <f>IF(Raw_Data!H45&lt;=1500000,"PASS","FAIL")</f>
        <v/>
      </c>
      <c r="J45" s="9">
        <f>IF(Raw_Data!D45&gt;=5,"PASS","FAIL")</f>
        <v/>
      </c>
      <c r="K45" s="9">
        <f>IF(Raw_Data!F45&gt;=5000000,"PASS","FAIL")</f>
        <v/>
      </c>
      <c r="L45" s="9">
        <f>IF(AND(D45="PASS",E45="PASS",F45="PASS",G45="PASS",H45="PASS",I45="PASS",J45="PASS",K45="PASS"),"Qualified","Disqualified")</f>
        <v/>
      </c>
    </row>
    <row r="46">
      <c r="A46" s="5">
        <f>Raw_Data!A46</f>
        <v/>
      </c>
      <c r="B46" s="6">
        <f>Raw_Data!B46</f>
        <v/>
      </c>
      <c r="C46" s="6">
        <f>Raw_Data!C46</f>
        <v/>
      </c>
      <c r="D46" s="6">
        <f>IF(Raw_Data!D46&gt;=3,"PASS","FAIL")</f>
        <v/>
      </c>
      <c r="E46" s="6">
        <f>IF(Raw_Data!E46&gt;=50,"PASS","FAIL")</f>
        <v/>
      </c>
      <c r="F46" s="6">
        <f>IF(Raw_Data!F46&gt;=1000000,"PASS","FAIL")</f>
        <v/>
      </c>
      <c r="G46" s="6">
        <f>IF(ISNUMBER(SEARCH("@",Raw_Data!G46)),"PASS","FAIL")</f>
        <v/>
      </c>
      <c r="H46" s="6">
        <f>IF(OR(Raw_Data!C46="North America",Raw_Data!C46="Europe",Raw_Data!C46="Asia Pacific"),"PASS","FAIL")</f>
        <v/>
      </c>
      <c r="I46" s="6">
        <f>IF(Raw_Data!H46&lt;=1500000,"PASS","FAIL")</f>
        <v/>
      </c>
      <c r="J46" s="6">
        <f>IF(Raw_Data!D46&gt;=5,"PASS","FAIL")</f>
        <v/>
      </c>
      <c r="K46" s="6">
        <f>IF(Raw_Data!F46&gt;=5000000,"PASS","FAIL")</f>
        <v/>
      </c>
      <c r="L46" s="6">
        <f>IF(AND(D46="PASS",E46="PASS",F46="PASS",G46="PASS",H46="PASS",I46="PASS",J46="PASS",K46="PASS"),"Qualified","Disqualified")</f>
        <v/>
      </c>
    </row>
    <row r="47">
      <c r="A47" s="8">
        <f>Raw_Data!A47</f>
        <v/>
      </c>
      <c r="B47" s="9">
        <f>Raw_Data!B47</f>
        <v/>
      </c>
      <c r="C47" s="9">
        <f>Raw_Data!C47</f>
        <v/>
      </c>
      <c r="D47" s="9">
        <f>IF(Raw_Data!D47&gt;=3,"PASS","FAIL")</f>
        <v/>
      </c>
      <c r="E47" s="9">
        <f>IF(Raw_Data!E47&gt;=50,"PASS","FAIL")</f>
        <v/>
      </c>
      <c r="F47" s="9">
        <f>IF(Raw_Data!F47&gt;=1000000,"PASS","FAIL")</f>
        <v/>
      </c>
      <c r="G47" s="9">
        <f>IF(ISNUMBER(SEARCH("@",Raw_Data!G47)),"PASS","FAIL")</f>
        <v/>
      </c>
      <c r="H47" s="9">
        <f>IF(OR(Raw_Data!C47="North America",Raw_Data!C47="Europe",Raw_Data!C47="Asia Pacific"),"PASS","FAIL")</f>
        <v/>
      </c>
      <c r="I47" s="9">
        <f>IF(Raw_Data!H47&lt;=1500000,"PASS","FAIL")</f>
        <v/>
      </c>
      <c r="J47" s="9">
        <f>IF(Raw_Data!D47&gt;=5,"PASS","FAIL")</f>
        <v/>
      </c>
      <c r="K47" s="9">
        <f>IF(Raw_Data!F47&gt;=5000000,"PASS","FAIL")</f>
        <v/>
      </c>
      <c r="L47" s="9">
        <f>IF(AND(D47="PASS",E47="PASS",F47="PASS",G47="PASS",H47="PASS",I47="PASS",J47="PASS",K47="PASS"),"Qualified","Disqualified")</f>
        <v/>
      </c>
    </row>
    <row r="48">
      <c r="A48" s="5">
        <f>Raw_Data!A48</f>
        <v/>
      </c>
      <c r="B48" s="6">
        <f>Raw_Data!B48</f>
        <v/>
      </c>
      <c r="C48" s="6">
        <f>Raw_Data!C48</f>
        <v/>
      </c>
      <c r="D48" s="6">
        <f>IF(Raw_Data!D48&gt;=3,"PASS","FAIL")</f>
        <v/>
      </c>
      <c r="E48" s="6">
        <f>IF(Raw_Data!E48&gt;=50,"PASS","FAIL")</f>
        <v/>
      </c>
      <c r="F48" s="6">
        <f>IF(Raw_Data!F48&gt;=1000000,"PASS","FAIL")</f>
        <v/>
      </c>
      <c r="G48" s="6">
        <f>IF(ISNUMBER(SEARCH("@",Raw_Data!G48)),"PASS","FAIL")</f>
        <v/>
      </c>
      <c r="H48" s="6">
        <f>IF(OR(Raw_Data!C48="North America",Raw_Data!C48="Europe",Raw_Data!C48="Asia Pacific"),"PASS","FAIL")</f>
        <v/>
      </c>
      <c r="I48" s="6">
        <f>IF(Raw_Data!H48&lt;=1500000,"PASS","FAIL")</f>
        <v/>
      </c>
      <c r="J48" s="6">
        <f>IF(Raw_Data!D48&gt;=5,"PASS","FAIL")</f>
        <v/>
      </c>
      <c r="K48" s="6">
        <f>IF(Raw_Data!F48&gt;=5000000,"PASS","FAIL")</f>
        <v/>
      </c>
      <c r="L48" s="6">
        <f>IF(AND(D48="PASS",E48="PASS",F48="PASS",G48="PASS",H48="PASS",I48="PASS",J48="PASS",K48="PASS"),"Qualified","Disqualified")</f>
        <v/>
      </c>
    </row>
    <row r="49">
      <c r="A49" s="8">
        <f>Raw_Data!A49</f>
        <v/>
      </c>
      <c r="B49" s="9">
        <f>Raw_Data!B49</f>
        <v/>
      </c>
      <c r="C49" s="9">
        <f>Raw_Data!C49</f>
        <v/>
      </c>
      <c r="D49" s="9">
        <f>IF(Raw_Data!D49&gt;=3,"PASS","FAIL")</f>
        <v/>
      </c>
      <c r="E49" s="9">
        <f>IF(Raw_Data!E49&gt;=50,"PASS","FAIL")</f>
        <v/>
      </c>
      <c r="F49" s="9">
        <f>IF(Raw_Data!F49&gt;=1000000,"PASS","FAIL")</f>
        <v/>
      </c>
      <c r="G49" s="9">
        <f>IF(ISNUMBER(SEARCH("@",Raw_Data!G49)),"PASS","FAIL")</f>
        <v/>
      </c>
      <c r="H49" s="9">
        <f>IF(OR(Raw_Data!C49="North America",Raw_Data!C49="Europe",Raw_Data!C49="Asia Pacific"),"PASS","FAIL")</f>
        <v/>
      </c>
      <c r="I49" s="9">
        <f>IF(Raw_Data!H49&lt;=1500000,"PASS","FAIL")</f>
        <v/>
      </c>
      <c r="J49" s="9">
        <f>IF(Raw_Data!D49&gt;=5,"PASS","FAIL")</f>
        <v/>
      </c>
      <c r="K49" s="9">
        <f>IF(Raw_Data!F49&gt;=5000000,"PASS","FAIL")</f>
        <v/>
      </c>
      <c r="L49" s="9">
        <f>IF(AND(D49="PASS",E49="PASS",F49="PASS",G49="PASS",H49="PASS",I49="PASS",J49="PASS",K49="PASS"),"Qualified","Disqualified")</f>
        <v/>
      </c>
    </row>
    <row r="50">
      <c r="A50" s="5">
        <f>Raw_Data!A50</f>
        <v/>
      </c>
      <c r="B50" s="6">
        <f>Raw_Data!B50</f>
        <v/>
      </c>
      <c r="C50" s="6">
        <f>Raw_Data!C50</f>
        <v/>
      </c>
      <c r="D50" s="6">
        <f>IF(Raw_Data!D50&gt;=3,"PASS","FAIL")</f>
        <v/>
      </c>
      <c r="E50" s="6">
        <f>IF(Raw_Data!E50&gt;=50,"PASS","FAIL")</f>
        <v/>
      </c>
      <c r="F50" s="6">
        <f>IF(Raw_Data!F50&gt;=1000000,"PASS","FAIL")</f>
        <v/>
      </c>
      <c r="G50" s="6">
        <f>IF(ISNUMBER(SEARCH("@",Raw_Data!G50)),"PASS","FAIL")</f>
        <v/>
      </c>
      <c r="H50" s="6">
        <f>IF(OR(Raw_Data!C50="North America",Raw_Data!C50="Europe",Raw_Data!C50="Asia Pacific"),"PASS","FAIL")</f>
        <v/>
      </c>
      <c r="I50" s="6">
        <f>IF(Raw_Data!H50&lt;=1500000,"PASS","FAIL")</f>
        <v/>
      </c>
      <c r="J50" s="6">
        <f>IF(Raw_Data!D50&gt;=5,"PASS","FAIL")</f>
        <v/>
      </c>
      <c r="K50" s="6">
        <f>IF(Raw_Data!F50&gt;=5000000,"PASS","FAIL")</f>
        <v/>
      </c>
      <c r="L50" s="6">
        <f>IF(AND(D50="PASS",E50="PASS",F50="PASS",G50="PASS",H50="PASS",I50="PASS",J50="PASS",K50="PASS"),"Qualified","Disqualified")</f>
        <v/>
      </c>
    </row>
    <row r="51">
      <c r="A51" s="8">
        <f>Raw_Data!A51</f>
        <v/>
      </c>
      <c r="B51" s="9">
        <f>Raw_Data!B51</f>
        <v/>
      </c>
      <c r="C51" s="9">
        <f>Raw_Data!C51</f>
        <v/>
      </c>
      <c r="D51" s="9">
        <f>IF(Raw_Data!D51&gt;=3,"PASS","FAIL")</f>
        <v/>
      </c>
      <c r="E51" s="9">
        <f>IF(Raw_Data!E51&gt;=50,"PASS","FAIL")</f>
        <v/>
      </c>
      <c r="F51" s="9">
        <f>IF(Raw_Data!F51&gt;=1000000,"PASS","FAIL")</f>
        <v/>
      </c>
      <c r="G51" s="9">
        <f>IF(ISNUMBER(SEARCH("@",Raw_Data!G51)),"PASS","FAIL")</f>
        <v/>
      </c>
      <c r="H51" s="9">
        <f>IF(OR(Raw_Data!C51="North America",Raw_Data!C51="Europe",Raw_Data!C51="Asia Pacific"),"PASS","FAIL")</f>
        <v/>
      </c>
      <c r="I51" s="9">
        <f>IF(Raw_Data!H51&lt;=1500000,"PASS","FAIL")</f>
        <v/>
      </c>
      <c r="J51" s="9">
        <f>IF(Raw_Data!D51&gt;=5,"PASS","FAIL")</f>
        <v/>
      </c>
      <c r="K51" s="9">
        <f>IF(Raw_Data!F51&gt;=5000000,"PASS","FAIL")</f>
        <v/>
      </c>
      <c r="L51" s="9">
        <f>IF(AND(D51="PASS",E51="PASS",F51="PASS",G51="PASS",H51="PASS",I51="PASS",J51="PASS",K51="PASS"),"Qualified","Disqualified")</f>
        <v/>
      </c>
    </row>
    <row r="52">
      <c r="A52" s="5">
        <f>Raw_Data!A52</f>
        <v/>
      </c>
      <c r="B52" s="6">
        <f>Raw_Data!B52</f>
        <v/>
      </c>
      <c r="C52" s="6">
        <f>Raw_Data!C52</f>
        <v/>
      </c>
      <c r="D52" s="6">
        <f>IF(Raw_Data!D52&gt;=3,"PASS","FAIL")</f>
        <v/>
      </c>
      <c r="E52" s="6">
        <f>IF(Raw_Data!E52&gt;=50,"PASS","FAIL")</f>
        <v/>
      </c>
      <c r="F52" s="6">
        <f>IF(Raw_Data!F52&gt;=1000000,"PASS","FAIL")</f>
        <v/>
      </c>
      <c r="G52" s="6">
        <f>IF(ISNUMBER(SEARCH("@",Raw_Data!G52)),"PASS","FAIL")</f>
        <v/>
      </c>
      <c r="H52" s="6">
        <f>IF(OR(Raw_Data!C52="North America",Raw_Data!C52="Europe",Raw_Data!C52="Asia Pacific"),"PASS","FAIL")</f>
        <v/>
      </c>
      <c r="I52" s="6">
        <f>IF(Raw_Data!H52&lt;=1500000,"PASS","FAIL")</f>
        <v/>
      </c>
      <c r="J52" s="6">
        <f>IF(Raw_Data!D52&gt;=5,"PASS","FAIL")</f>
        <v/>
      </c>
      <c r="K52" s="6">
        <f>IF(Raw_Data!F52&gt;=5000000,"PASS","FAIL")</f>
        <v/>
      </c>
      <c r="L52" s="6">
        <f>IF(AND(D52="PASS",E52="PASS",F52="PASS",G52="PASS",H52="PASS",I52="PASS",J52="PASS",K52="PASS"),"Qualified","Disqualified")</f>
        <v/>
      </c>
    </row>
    <row r="53">
      <c r="A53" s="8">
        <f>Raw_Data!A53</f>
        <v/>
      </c>
      <c r="B53" s="9">
        <f>Raw_Data!B53</f>
        <v/>
      </c>
      <c r="C53" s="9">
        <f>Raw_Data!C53</f>
        <v/>
      </c>
      <c r="D53" s="9">
        <f>IF(Raw_Data!D53&gt;=3,"PASS","FAIL")</f>
        <v/>
      </c>
      <c r="E53" s="9">
        <f>IF(Raw_Data!E53&gt;=50,"PASS","FAIL")</f>
        <v/>
      </c>
      <c r="F53" s="9">
        <f>IF(Raw_Data!F53&gt;=1000000,"PASS","FAIL")</f>
        <v/>
      </c>
      <c r="G53" s="9">
        <f>IF(ISNUMBER(SEARCH("@",Raw_Data!G53)),"PASS","FAIL")</f>
        <v/>
      </c>
      <c r="H53" s="9">
        <f>IF(OR(Raw_Data!C53="North America",Raw_Data!C53="Europe",Raw_Data!C53="Asia Pacific"),"PASS","FAIL")</f>
        <v/>
      </c>
      <c r="I53" s="9">
        <f>IF(Raw_Data!H53&lt;=1500000,"PASS","FAIL")</f>
        <v/>
      </c>
      <c r="J53" s="9">
        <f>IF(Raw_Data!D53&gt;=5,"PASS","FAIL")</f>
        <v/>
      </c>
      <c r="K53" s="9">
        <f>IF(Raw_Data!F53&gt;=5000000,"PASS","FAIL")</f>
        <v/>
      </c>
      <c r="L53" s="9">
        <f>IF(AND(D53="PASS",E53="PASS",F53="PASS",G53="PASS",H53="PASS",I53="PASS",J53="PASS",K53="PASS"),"Qualified","Disqualified")</f>
        <v/>
      </c>
    </row>
    <row r="54">
      <c r="A54" s="5">
        <f>Raw_Data!A54</f>
        <v/>
      </c>
      <c r="B54" s="6">
        <f>Raw_Data!B54</f>
        <v/>
      </c>
      <c r="C54" s="6">
        <f>Raw_Data!C54</f>
        <v/>
      </c>
      <c r="D54" s="6">
        <f>IF(Raw_Data!D54&gt;=3,"PASS","FAIL")</f>
        <v/>
      </c>
      <c r="E54" s="6">
        <f>IF(Raw_Data!E54&gt;=50,"PASS","FAIL")</f>
        <v/>
      </c>
      <c r="F54" s="6">
        <f>IF(Raw_Data!F54&gt;=1000000,"PASS","FAIL")</f>
        <v/>
      </c>
      <c r="G54" s="6">
        <f>IF(ISNUMBER(SEARCH("@",Raw_Data!G54)),"PASS","FAIL")</f>
        <v/>
      </c>
      <c r="H54" s="6">
        <f>IF(OR(Raw_Data!C54="North America",Raw_Data!C54="Europe",Raw_Data!C54="Asia Pacific"),"PASS","FAIL")</f>
        <v/>
      </c>
      <c r="I54" s="6">
        <f>IF(Raw_Data!H54&lt;=1500000,"PASS","FAIL")</f>
        <v/>
      </c>
      <c r="J54" s="6">
        <f>IF(Raw_Data!D54&gt;=5,"PASS","FAIL")</f>
        <v/>
      </c>
      <c r="K54" s="6">
        <f>IF(Raw_Data!F54&gt;=5000000,"PASS","FAIL")</f>
        <v/>
      </c>
      <c r="L54" s="6">
        <f>IF(AND(D54="PASS",E54="PASS",F54="PASS",G54="PASS",H54="PASS",I54="PASS",J54="PASS",K54="PASS"),"Qualified","Disqualified")</f>
        <v/>
      </c>
    </row>
    <row r="55">
      <c r="A55" s="8">
        <f>Raw_Data!A55</f>
        <v/>
      </c>
      <c r="B55" s="9">
        <f>Raw_Data!B55</f>
        <v/>
      </c>
      <c r="C55" s="9">
        <f>Raw_Data!C55</f>
        <v/>
      </c>
      <c r="D55" s="9">
        <f>IF(Raw_Data!D55&gt;=3,"PASS","FAIL")</f>
        <v/>
      </c>
      <c r="E55" s="9">
        <f>IF(Raw_Data!E55&gt;=50,"PASS","FAIL")</f>
        <v/>
      </c>
      <c r="F55" s="9">
        <f>IF(Raw_Data!F55&gt;=1000000,"PASS","FAIL")</f>
        <v/>
      </c>
      <c r="G55" s="9">
        <f>IF(ISNUMBER(SEARCH("@",Raw_Data!G55)),"PASS","FAIL")</f>
        <v/>
      </c>
      <c r="H55" s="9">
        <f>IF(OR(Raw_Data!C55="North America",Raw_Data!C55="Europe",Raw_Data!C55="Asia Pacific"),"PASS","FAIL")</f>
        <v/>
      </c>
      <c r="I55" s="9">
        <f>IF(Raw_Data!H55&lt;=1500000,"PASS","FAIL")</f>
        <v/>
      </c>
      <c r="J55" s="9">
        <f>IF(Raw_Data!D55&gt;=5,"PASS","FAIL")</f>
        <v/>
      </c>
      <c r="K55" s="9">
        <f>IF(Raw_Data!F55&gt;=5000000,"PASS","FAIL")</f>
        <v/>
      </c>
      <c r="L55" s="9">
        <f>IF(AND(D55="PASS",E55="PASS",F55="PASS",G55="PASS",H55="PASS",I55="PASS",J55="PASS",K55="PASS"),"Qualified","Disqualified")</f>
        <v/>
      </c>
    </row>
    <row r="56">
      <c r="A56" s="5">
        <f>Raw_Data!A56</f>
        <v/>
      </c>
      <c r="B56" s="6">
        <f>Raw_Data!B56</f>
        <v/>
      </c>
      <c r="C56" s="6">
        <f>Raw_Data!C56</f>
        <v/>
      </c>
      <c r="D56" s="6">
        <f>IF(Raw_Data!D56&gt;=3,"PASS","FAIL")</f>
        <v/>
      </c>
      <c r="E56" s="6">
        <f>IF(Raw_Data!E56&gt;=50,"PASS","FAIL")</f>
        <v/>
      </c>
      <c r="F56" s="6">
        <f>IF(Raw_Data!F56&gt;=1000000,"PASS","FAIL")</f>
        <v/>
      </c>
      <c r="G56" s="6">
        <f>IF(ISNUMBER(SEARCH("@",Raw_Data!G56)),"PASS","FAIL")</f>
        <v/>
      </c>
      <c r="H56" s="6">
        <f>IF(OR(Raw_Data!C56="North America",Raw_Data!C56="Europe",Raw_Data!C56="Asia Pacific"),"PASS","FAIL")</f>
        <v/>
      </c>
      <c r="I56" s="6">
        <f>IF(Raw_Data!H56&lt;=1500000,"PASS","FAIL")</f>
        <v/>
      </c>
      <c r="J56" s="6">
        <f>IF(Raw_Data!D56&gt;=5,"PASS","FAIL")</f>
        <v/>
      </c>
      <c r="K56" s="6">
        <f>IF(Raw_Data!F56&gt;=5000000,"PASS","FAIL")</f>
        <v/>
      </c>
      <c r="L56" s="6">
        <f>IF(AND(D56="PASS",E56="PASS",F56="PASS",G56="PASS",H56="PASS",I56="PASS",J56="PASS",K56="PASS"),"Qualified","Disqualified")</f>
        <v/>
      </c>
    </row>
    <row r="57">
      <c r="A57" s="8">
        <f>Raw_Data!A57</f>
        <v/>
      </c>
      <c r="B57" s="9">
        <f>Raw_Data!B57</f>
        <v/>
      </c>
      <c r="C57" s="9">
        <f>Raw_Data!C57</f>
        <v/>
      </c>
      <c r="D57" s="9">
        <f>IF(Raw_Data!D57&gt;=3,"PASS","FAIL")</f>
        <v/>
      </c>
      <c r="E57" s="9">
        <f>IF(Raw_Data!E57&gt;=50,"PASS","FAIL")</f>
        <v/>
      </c>
      <c r="F57" s="9">
        <f>IF(Raw_Data!F57&gt;=1000000,"PASS","FAIL")</f>
        <v/>
      </c>
      <c r="G57" s="9">
        <f>IF(ISNUMBER(SEARCH("@",Raw_Data!G57)),"PASS","FAIL")</f>
        <v/>
      </c>
      <c r="H57" s="9">
        <f>IF(OR(Raw_Data!C57="North America",Raw_Data!C57="Europe",Raw_Data!C57="Asia Pacific"),"PASS","FAIL")</f>
        <v/>
      </c>
      <c r="I57" s="9">
        <f>IF(Raw_Data!H57&lt;=1500000,"PASS","FAIL")</f>
        <v/>
      </c>
      <c r="J57" s="9">
        <f>IF(Raw_Data!D57&gt;=5,"PASS","FAIL")</f>
        <v/>
      </c>
      <c r="K57" s="9">
        <f>IF(Raw_Data!F57&gt;=5000000,"PASS","FAIL")</f>
        <v/>
      </c>
      <c r="L57" s="9">
        <f>IF(AND(D57="PASS",E57="PASS",F57="PASS",G57="PASS",H57="PASS",I57="PASS",J57="PASS",K57="PASS"),"Qualified","Disqualified")</f>
        <v/>
      </c>
    </row>
    <row r="58">
      <c r="A58" s="5">
        <f>Raw_Data!A58</f>
        <v/>
      </c>
      <c r="B58" s="6">
        <f>Raw_Data!B58</f>
        <v/>
      </c>
      <c r="C58" s="6">
        <f>Raw_Data!C58</f>
        <v/>
      </c>
      <c r="D58" s="6">
        <f>IF(Raw_Data!D58&gt;=3,"PASS","FAIL")</f>
        <v/>
      </c>
      <c r="E58" s="6">
        <f>IF(Raw_Data!E58&gt;=50,"PASS","FAIL")</f>
        <v/>
      </c>
      <c r="F58" s="6">
        <f>IF(Raw_Data!F58&gt;=1000000,"PASS","FAIL")</f>
        <v/>
      </c>
      <c r="G58" s="6">
        <f>IF(ISNUMBER(SEARCH("@",Raw_Data!G58)),"PASS","FAIL")</f>
        <v/>
      </c>
      <c r="H58" s="6">
        <f>IF(OR(Raw_Data!C58="North America",Raw_Data!C58="Europe",Raw_Data!C58="Asia Pacific"),"PASS","FAIL")</f>
        <v/>
      </c>
      <c r="I58" s="6">
        <f>IF(Raw_Data!H58&lt;=1500000,"PASS","FAIL")</f>
        <v/>
      </c>
      <c r="J58" s="6">
        <f>IF(Raw_Data!D58&gt;=5,"PASS","FAIL")</f>
        <v/>
      </c>
      <c r="K58" s="6">
        <f>IF(Raw_Data!F58&gt;=5000000,"PASS","FAIL")</f>
        <v/>
      </c>
      <c r="L58" s="6">
        <f>IF(AND(D58="PASS",E58="PASS",F58="PASS",G58="PASS",H58="PASS",I58="PASS",J58="PASS",K58="PASS"),"Qualified","Disqualified")</f>
        <v/>
      </c>
    </row>
    <row r="59">
      <c r="A59" s="8">
        <f>Raw_Data!A59</f>
        <v/>
      </c>
      <c r="B59" s="9">
        <f>Raw_Data!B59</f>
        <v/>
      </c>
      <c r="C59" s="9">
        <f>Raw_Data!C59</f>
        <v/>
      </c>
      <c r="D59" s="9">
        <f>IF(Raw_Data!D59&gt;=3,"PASS","FAIL")</f>
        <v/>
      </c>
      <c r="E59" s="9">
        <f>IF(Raw_Data!E59&gt;=50,"PASS","FAIL")</f>
        <v/>
      </c>
      <c r="F59" s="9">
        <f>IF(Raw_Data!F59&gt;=1000000,"PASS","FAIL")</f>
        <v/>
      </c>
      <c r="G59" s="9">
        <f>IF(ISNUMBER(SEARCH("@",Raw_Data!G59)),"PASS","FAIL")</f>
        <v/>
      </c>
      <c r="H59" s="9">
        <f>IF(OR(Raw_Data!C59="North America",Raw_Data!C59="Europe",Raw_Data!C59="Asia Pacific"),"PASS","FAIL")</f>
        <v/>
      </c>
      <c r="I59" s="9">
        <f>IF(Raw_Data!H59&lt;=1500000,"PASS","FAIL")</f>
        <v/>
      </c>
      <c r="J59" s="9">
        <f>IF(Raw_Data!D59&gt;=5,"PASS","FAIL")</f>
        <v/>
      </c>
      <c r="K59" s="9">
        <f>IF(Raw_Data!F59&gt;=5000000,"PASS","FAIL")</f>
        <v/>
      </c>
      <c r="L59" s="9">
        <f>IF(AND(D59="PASS",E59="PASS",F59="PASS",G59="PASS",H59="PASS",I59="PASS",J59="PASS",K59="PASS"),"Qualified","Disqualified")</f>
        <v/>
      </c>
    </row>
    <row r="60">
      <c r="A60" s="5">
        <f>Raw_Data!A60</f>
        <v/>
      </c>
      <c r="B60" s="6">
        <f>Raw_Data!B60</f>
        <v/>
      </c>
      <c r="C60" s="6">
        <f>Raw_Data!C60</f>
        <v/>
      </c>
      <c r="D60" s="6">
        <f>IF(Raw_Data!D60&gt;=3,"PASS","FAIL")</f>
        <v/>
      </c>
      <c r="E60" s="6">
        <f>IF(Raw_Data!E60&gt;=50,"PASS","FAIL")</f>
        <v/>
      </c>
      <c r="F60" s="6">
        <f>IF(Raw_Data!F60&gt;=1000000,"PASS","FAIL")</f>
        <v/>
      </c>
      <c r="G60" s="6">
        <f>IF(ISNUMBER(SEARCH("@",Raw_Data!G60)),"PASS","FAIL")</f>
        <v/>
      </c>
      <c r="H60" s="6">
        <f>IF(OR(Raw_Data!C60="North America",Raw_Data!C60="Europe",Raw_Data!C60="Asia Pacific"),"PASS","FAIL")</f>
        <v/>
      </c>
      <c r="I60" s="6">
        <f>IF(Raw_Data!H60&lt;=1500000,"PASS","FAIL")</f>
        <v/>
      </c>
      <c r="J60" s="6">
        <f>IF(Raw_Data!D60&gt;=5,"PASS","FAIL")</f>
        <v/>
      </c>
      <c r="K60" s="6">
        <f>IF(Raw_Data!F60&gt;=5000000,"PASS","FAIL")</f>
        <v/>
      </c>
      <c r="L60" s="6">
        <f>IF(AND(D60="PASS",E60="PASS",F60="PASS",G60="PASS",H60="PASS",I60="PASS",J60="PASS",K60="PASS"),"Qualified","Disqualified")</f>
        <v/>
      </c>
    </row>
    <row r="61">
      <c r="A61" s="8">
        <f>Raw_Data!A61</f>
        <v/>
      </c>
      <c r="B61" s="9">
        <f>Raw_Data!B61</f>
        <v/>
      </c>
      <c r="C61" s="9">
        <f>Raw_Data!C61</f>
        <v/>
      </c>
      <c r="D61" s="9">
        <f>IF(Raw_Data!D61&gt;=3,"PASS","FAIL")</f>
        <v/>
      </c>
      <c r="E61" s="9">
        <f>IF(Raw_Data!E61&gt;=50,"PASS","FAIL")</f>
        <v/>
      </c>
      <c r="F61" s="9">
        <f>IF(Raw_Data!F61&gt;=1000000,"PASS","FAIL")</f>
        <v/>
      </c>
      <c r="G61" s="9">
        <f>IF(ISNUMBER(SEARCH("@",Raw_Data!G61)),"PASS","FAIL")</f>
        <v/>
      </c>
      <c r="H61" s="9">
        <f>IF(OR(Raw_Data!C61="North America",Raw_Data!C61="Europe",Raw_Data!C61="Asia Pacific"),"PASS","FAIL")</f>
        <v/>
      </c>
      <c r="I61" s="9">
        <f>IF(Raw_Data!H61&lt;=1500000,"PASS","FAIL")</f>
        <v/>
      </c>
      <c r="J61" s="9">
        <f>IF(Raw_Data!D61&gt;=5,"PASS","FAIL")</f>
        <v/>
      </c>
      <c r="K61" s="9">
        <f>IF(Raw_Data!F61&gt;=5000000,"PASS","FAIL")</f>
        <v/>
      </c>
      <c r="L61" s="9">
        <f>IF(AND(D61="PASS",E61="PASS",F61="PASS",G61="PASS",H61="PASS",I61="PASS",J61="PASS",K61="PASS"),"Qualified","Disqualified")</f>
        <v/>
      </c>
    </row>
    <row r="62">
      <c r="A62" s="5">
        <f>Raw_Data!A62</f>
        <v/>
      </c>
      <c r="B62" s="6">
        <f>Raw_Data!B62</f>
        <v/>
      </c>
      <c r="C62" s="6">
        <f>Raw_Data!C62</f>
        <v/>
      </c>
      <c r="D62" s="6">
        <f>IF(Raw_Data!D62&gt;=3,"PASS","FAIL")</f>
        <v/>
      </c>
      <c r="E62" s="6">
        <f>IF(Raw_Data!E62&gt;=50,"PASS","FAIL")</f>
        <v/>
      </c>
      <c r="F62" s="6">
        <f>IF(Raw_Data!F62&gt;=1000000,"PASS","FAIL")</f>
        <v/>
      </c>
      <c r="G62" s="6">
        <f>IF(ISNUMBER(SEARCH("@",Raw_Data!G62)),"PASS","FAIL")</f>
        <v/>
      </c>
      <c r="H62" s="6">
        <f>IF(OR(Raw_Data!C62="North America",Raw_Data!C62="Europe",Raw_Data!C62="Asia Pacific"),"PASS","FAIL")</f>
        <v/>
      </c>
      <c r="I62" s="6">
        <f>IF(Raw_Data!H62&lt;=1500000,"PASS","FAIL")</f>
        <v/>
      </c>
      <c r="J62" s="6">
        <f>IF(Raw_Data!D62&gt;=5,"PASS","FAIL")</f>
        <v/>
      </c>
      <c r="K62" s="6">
        <f>IF(Raw_Data!F62&gt;=5000000,"PASS","FAIL")</f>
        <v/>
      </c>
      <c r="L62" s="6">
        <f>IF(AND(D62="PASS",E62="PASS",F62="PASS",G62="PASS",H62="PASS",I62="PASS",J62="PASS",K62="PASS"),"Qualified","Disqualified")</f>
        <v/>
      </c>
    </row>
    <row r="63">
      <c r="A63" s="8">
        <f>Raw_Data!A63</f>
        <v/>
      </c>
      <c r="B63" s="9">
        <f>Raw_Data!B63</f>
        <v/>
      </c>
      <c r="C63" s="9">
        <f>Raw_Data!C63</f>
        <v/>
      </c>
      <c r="D63" s="9">
        <f>IF(Raw_Data!D63&gt;=3,"PASS","FAIL")</f>
        <v/>
      </c>
      <c r="E63" s="9">
        <f>IF(Raw_Data!E63&gt;=50,"PASS","FAIL")</f>
        <v/>
      </c>
      <c r="F63" s="9">
        <f>IF(Raw_Data!F63&gt;=1000000,"PASS","FAIL")</f>
        <v/>
      </c>
      <c r="G63" s="9">
        <f>IF(ISNUMBER(SEARCH("@",Raw_Data!G63)),"PASS","FAIL")</f>
        <v/>
      </c>
      <c r="H63" s="9">
        <f>IF(OR(Raw_Data!C63="North America",Raw_Data!C63="Europe",Raw_Data!C63="Asia Pacific"),"PASS","FAIL")</f>
        <v/>
      </c>
      <c r="I63" s="9">
        <f>IF(Raw_Data!H63&lt;=1500000,"PASS","FAIL")</f>
        <v/>
      </c>
      <c r="J63" s="9">
        <f>IF(Raw_Data!D63&gt;=5,"PASS","FAIL")</f>
        <v/>
      </c>
      <c r="K63" s="9">
        <f>IF(Raw_Data!F63&gt;=5000000,"PASS","FAIL")</f>
        <v/>
      </c>
      <c r="L63" s="9">
        <f>IF(AND(D63="PASS",E63="PASS",F63="PASS",G63="PASS",H63="PASS",I63="PASS",J63="PASS",K63="PASS"),"Qualified","Disqualified")</f>
        <v/>
      </c>
    </row>
    <row r="64">
      <c r="A64" s="5">
        <f>Raw_Data!A64</f>
        <v/>
      </c>
      <c r="B64" s="6">
        <f>Raw_Data!B64</f>
        <v/>
      </c>
      <c r="C64" s="6">
        <f>Raw_Data!C64</f>
        <v/>
      </c>
      <c r="D64" s="6">
        <f>IF(Raw_Data!D64&gt;=3,"PASS","FAIL")</f>
        <v/>
      </c>
      <c r="E64" s="6">
        <f>IF(Raw_Data!E64&gt;=50,"PASS","FAIL")</f>
        <v/>
      </c>
      <c r="F64" s="6">
        <f>IF(Raw_Data!F64&gt;=1000000,"PASS","FAIL")</f>
        <v/>
      </c>
      <c r="G64" s="6">
        <f>IF(ISNUMBER(SEARCH("@",Raw_Data!G64)),"PASS","FAIL")</f>
        <v/>
      </c>
      <c r="H64" s="6">
        <f>IF(OR(Raw_Data!C64="North America",Raw_Data!C64="Europe",Raw_Data!C64="Asia Pacific"),"PASS","FAIL")</f>
        <v/>
      </c>
      <c r="I64" s="6">
        <f>IF(Raw_Data!H64&lt;=1500000,"PASS","FAIL")</f>
        <v/>
      </c>
      <c r="J64" s="6">
        <f>IF(Raw_Data!D64&gt;=5,"PASS","FAIL")</f>
        <v/>
      </c>
      <c r="K64" s="6">
        <f>IF(Raw_Data!F64&gt;=5000000,"PASS","FAIL")</f>
        <v/>
      </c>
      <c r="L64" s="6">
        <f>IF(AND(D64="PASS",E64="PASS",F64="PASS",G64="PASS",H64="PASS",I64="PASS",J64="PASS",K64="PASS"),"Qualified","Disqualified")</f>
        <v/>
      </c>
    </row>
    <row r="65">
      <c r="A65" s="8">
        <f>Raw_Data!A65</f>
        <v/>
      </c>
      <c r="B65" s="9">
        <f>Raw_Data!B65</f>
        <v/>
      </c>
      <c r="C65" s="9">
        <f>Raw_Data!C65</f>
        <v/>
      </c>
      <c r="D65" s="9">
        <f>IF(Raw_Data!D65&gt;=3,"PASS","FAIL")</f>
        <v/>
      </c>
      <c r="E65" s="9">
        <f>IF(Raw_Data!E65&gt;=50,"PASS","FAIL")</f>
        <v/>
      </c>
      <c r="F65" s="9">
        <f>IF(Raw_Data!F65&gt;=1000000,"PASS","FAIL")</f>
        <v/>
      </c>
      <c r="G65" s="9">
        <f>IF(ISNUMBER(SEARCH("@",Raw_Data!G65)),"PASS","FAIL")</f>
        <v/>
      </c>
      <c r="H65" s="9">
        <f>IF(OR(Raw_Data!C65="North America",Raw_Data!C65="Europe",Raw_Data!C65="Asia Pacific"),"PASS","FAIL")</f>
        <v/>
      </c>
      <c r="I65" s="9">
        <f>IF(Raw_Data!H65&lt;=1500000,"PASS","FAIL")</f>
        <v/>
      </c>
      <c r="J65" s="9">
        <f>IF(Raw_Data!D65&gt;=5,"PASS","FAIL")</f>
        <v/>
      </c>
      <c r="K65" s="9">
        <f>IF(Raw_Data!F65&gt;=5000000,"PASS","FAIL")</f>
        <v/>
      </c>
      <c r="L65" s="9">
        <f>IF(AND(D65="PASS",E65="PASS",F65="PASS",G65="PASS",H65="PASS",I65="PASS",J65="PASS",K65="PASS"),"Qualified","Disqualified")</f>
        <v/>
      </c>
    </row>
    <row r="66">
      <c r="A66" s="5">
        <f>Raw_Data!A66</f>
        <v/>
      </c>
      <c r="B66" s="6">
        <f>Raw_Data!B66</f>
        <v/>
      </c>
      <c r="C66" s="6">
        <f>Raw_Data!C66</f>
        <v/>
      </c>
      <c r="D66" s="6">
        <f>IF(Raw_Data!D66&gt;=3,"PASS","FAIL")</f>
        <v/>
      </c>
      <c r="E66" s="6">
        <f>IF(Raw_Data!E66&gt;=50,"PASS","FAIL")</f>
        <v/>
      </c>
      <c r="F66" s="6">
        <f>IF(Raw_Data!F66&gt;=1000000,"PASS","FAIL")</f>
        <v/>
      </c>
      <c r="G66" s="6">
        <f>IF(ISNUMBER(SEARCH("@",Raw_Data!G66)),"PASS","FAIL")</f>
        <v/>
      </c>
      <c r="H66" s="6">
        <f>IF(OR(Raw_Data!C66="North America",Raw_Data!C66="Europe",Raw_Data!C66="Asia Pacific"),"PASS","FAIL")</f>
        <v/>
      </c>
      <c r="I66" s="6">
        <f>IF(Raw_Data!H66&lt;=1500000,"PASS","FAIL")</f>
        <v/>
      </c>
      <c r="J66" s="6">
        <f>IF(Raw_Data!D66&gt;=5,"PASS","FAIL")</f>
        <v/>
      </c>
      <c r="K66" s="6">
        <f>IF(Raw_Data!F66&gt;=5000000,"PASS","FAIL")</f>
        <v/>
      </c>
      <c r="L66" s="6">
        <f>IF(AND(D66="PASS",E66="PASS",F66="PASS",G66="PASS",H66="PASS",I66="PASS",J66="PASS",K66="PASS"),"Qualified","Disqualified")</f>
        <v/>
      </c>
    </row>
    <row r="67">
      <c r="A67" s="8">
        <f>Raw_Data!A67</f>
        <v/>
      </c>
      <c r="B67" s="9">
        <f>Raw_Data!B67</f>
        <v/>
      </c>
      <c r="C67" s="9">
        <f>Raw_Data!C67</f>
        <v/>
      </c>
      <c r="D67" s="9">
        <f>IF(Raw_Data!D67&gt;=3,"PASS","FAIL")</f>
        <v/>
      </c>
      <c r="E67" s="9">
        <f>IF(Raw_Data!E67&gt;=50,"PASS","FAIL")</f>
        <v/>
      </c>
      <c r="F67" s="9">
        <f>IF(Raw_Data!F67&gt;=1000000,"PASS","FAIL")</f>
        <v/>
      </c>
      <c r="G67" s="9">
        <f>IF(ISNUMBER(SEARCH("@",Raw_Data!G67)),"PASS","FAIL")</f>
        <v/>
      </c>
      <c r="H67" s="9">
        <f>IF(OR(Raw_Data!C67="North America",Raw_Data!C67="Europe",Raw_Data!C67="Asia Pacific"),"PASS","FAIL")</f>
        <v/>
      </c>
      <c r="I67" s="9">
        <f>IF(Raw_Data!H67&lt;=1500000,"PASS","FAIL")</f>
        <v/>
      </c>
      <c r="J67" s="9">
        <f>IF(Raw_Data!D67&gt;=5,"PASS","FAIL")</f>
        <v/>
      </c>
      <c r="K67" s="9">
        <f>IF(Raw_Data!F67&gt;=5000000,"PASS","FAIL")</f>
        <v/>
      </c>
      <c r="L67" s="9">
        <f>IF(AND(D67="PASS",E67="PASS",F67="PASS",G67="PASS",H67="PASS",I67="PASS",J67="PASS",K67="PASS"),"Qualified","Disqualified")</f>
        <v/>
      </c>
    </row>
    <row r="68">
      <c r="A68" s="5">
        <f>Raw_Data!A68</f>
        <v/>
      </c>
      <c r="B68" s="6">
        <f>Raw_Data!B68</f>
        <v/>
      </c>
      <c r="C68" s="6">
        <f>Raw_Data!C68</f>
        <v/>
      </c>
      <c r="D68" s="6">
        <f>IF(Raw_Data!D68&gt;=3,"PASS","FAIL")</f>
        <v/>
      </c>
      <c r="E68" s="6">
        <f>IF(Raw_Data!E68&gt;=50,"PASS","FAIL")</f>
        <v/>
      </c>
      <c r="F68" s="6">
        <f>IF(Raw_Data!F68&gt;=1000000,"PASS","FAIL")</f>
        <v/>
      </c>
      <c r="G68" s="6">
        <f>IF(ISNUMBER(SEARCH("@",Raw_Data!G68)),"PASS","FAIL")</f>
        <v/>
      </c>
      <c r="H68" s="6">
        <f>IF(OR(Raw_Data!C68="North America",Raw_Data!C68="Europe",Raw_Data!C68="Asia Pacific"),"PASS","FAIL")</f>
        <v/>
      </c>
      <c r="I68" s="6">
        <f>IF(Raw_Data!H68&lt;=1500000,"PASS","FAIL")</f>
        <v/>
      </c>
      <c r="J68" s="6">
        <f>IF(Raw_Data!D68&gt;=5,"PASS","FAIL")</f>
        <v/>
      </c>
      <c r="K68" s="6">
        <f>IF(Raw_Data!F68&gt;=5000000,"PASS","FAIL")</f>
        <v/>
      </c>
      <c r="L68" s="6">
        <f>IF(AND(D68="PASS",E68="PASS",F68="PASS",G68="PASS",H68="PASS",I68="PASS",J68="PASS",K68="PASS"),"Qualified","Disqualified")</f>
        <v/>
      </c>
    </row>
    <row r="69">
      <c r="A69" s="8">
        <f>Raw_Data!A69</f>
        <v/>
      </c>
      <c r="B69" s="9">
        <f>Raw_Data!B69</f>
        <v/>
      </c>
      <c r="C69" s="9">
        <f>Raw_Data!C69</f>
        <v/>
      </c>
      <c r="D69" s="9">
        <f>IF(Raw_Data!D69&gt;=3,"PASS","FAIL")</f>
        <v/>
      </c>
      <c r="E69" s="9">
        <f>IF(Raw_Data!E69&gt;=50,"PASS","FAIL")</f>
        <v/>
      </c>
      <c r="F69" s="9">
        <f>IF(Raw_Data!F69&gt;=1000000,"PASS","FAIL")</f>
        <v/>
      </c>
      <c r="G69" s="9">
        <f>IF(ISNUMBER(SEARCH("@",Raw_Data!G69)),"PASS","FAIL")</f>
        <v/>
      </c>
      <c r="H69" s="9">
        <f>IF(OR(Raw_Data!C69="North America",Raw_Data!C69="Europe",Raw_Data!C69="Asia Pacific"),"PASS","FAIL")</f>
        <v/>
      </c>
      <c r="I69" s="9">
        <f>IF(Raw_Data!H69&lt;=1500000,"PASS","FAIL")</f>
        <v/>
      </c>
      <c r="J69" s="9">
        <f>IF(Raw_Data!D69&gt;=5,"PASS","FAIL")</f>
        <v/>
      </c>
      <c r="K69" s="9">
        <f>IF(Raw_Data!F69&gt;=5000000,"PASS","FAIL")</f>
        <v/>
      </c>
      <c r="L69" s="9">
        <f>IF(AND(D69="PASS",E69="PASS",F69="PASS",G69="PASS",H69="PASS",I69="PASS",J69="PASS",K69="PASS"),"Qualified","Disqualified")</f>
        <v/>
      </c>
    </row>
    <row r="70">
      <c r="A70" s="5">
        <f>Raw_Data!A70</f>
        <v/>
      </c>
      <c r="B70" s="6">
        <f>Raw_Data!B70</f>
        <v/>
      </c>
      <c r="C70" s="6">
        <f>Raw_Data!C70</f>
        <v/>
      </c>
      <c r="D70" s="6">
        <f>IF(Raw_Data!D70&gt;=3,"PASS","FAIL")</f>
        <v/>
      </c>
      <c r="E70" s="6">
        <f>IF(Raw_Data!E70&gt;=50,"PASS","FAIL")</f>
        <v/>
      </c>
      <c r="F70" s="6">
        <f>IF(Raw_Data!F70&gt;=1000000,"PASS","FAIL")</f>
        <v/>
      </c>
      <c r="G70" s="6">
        <f>IF(ISNUMBER(SEARCH("@",Raw_Data!G70)),"PASS","FAIL")</f>
        <v/>
      </c>
      <c r="H70" s="6">
        <f>IF(OR(Raw_Data!C70="North America",Raw_Data!C70="Europe",Raw_Data!C70="Asia Pacific"),"PASS","FAIL")</f>
        <v/>
      </c>
      <c r="I70" s="6">
        <f>IF(Raw_Data!H70&lt;=1500000,"PASS","FAIL")</f>
        <v/>
      </c>
      <c r="J70" s="6">
        <f>IF(Raw_Data!D70&gt;=5,"PASS","FAIL")</f>
        <v/>
      </c>
      <c r="K70" s="6">
        <f>IF(Raw_Data!F70&gt;=5000000,"PASS","FAIL")</f>
        <v/>
      </c>
      <c r="L70" s="6">
        <f>IF(AND(D70="PASS",E70="PASS",F70="PASS",G70="PASS",H70="PASS",I70="PASS",J70="PASS",K70="PASS"),"Qualified","Disqualified")</f>
        <v/>
      </c>
    </row>
    <row r="71">
      <c r="A71" s="8">
        <f>Raw_Data!A71</f>
        <v/>
      </c>
      <c r="B71" s="9">
        <f>Raw_Data!B71</f>
        <v/>
      </c>
      <c r="C71" s="9">
        <f>Raw_Data!C71</f>
        <v/>
      </c>
      <c r="D71" s="9">
        <f>IF(Raw_Data!D71&gt;=3,"PASS","FAIL")</f>
        <v/>
      </c>
      <c r="E71" s="9">
        <f>IF(Raw_Data!E71&gt;=50,"PASS","FAIL")</f>
        <v/>
      </c>
      <c r="F71" s="9">
        <f>IF(Raw_Data!F71&gt;=1000000,"PASS","FAIL")</f>
        <v/>
      </c>
      <c r="G71" s="9">
        <f>IF(ISNUMBER(SEARCH("@",Raw_Data!G71)),"PASS","FAIL")</f>
        <v/>
      </c>
      <c r="H71" s="9">
        <f>IF(OR(Raw_Data!C71="North America",Raw_Data!C71="Europe",Raw_Data!C71="Asia Pacific"),"PASS","FAIL")</f>
        <v/>
      </c>
      <c r="I71" s="9">
        <f>IF(Raw_Data!H71&lt;=1500000,"PASS","FAIL")</f>
        <v/>
      </c>
      <c r="J71" s="9">
        <f>IF(Raw_Data!D71&gt;=5,"PASS","FAIL")</f>
        <v/>
      </c>
      <c r="K71" s="9">
        <f>IF(Raw_Data!F71&gt;=5000000,"PASS","FAIL")</f>
        <v/>
      </c>
      <c r="L71" s="9">
        <f>IF(AND(D71="PASS",E71="PASS",F71="PASS",G71="PASS",H71="PASS",I71="PASS",J71="PASS",K71="PASS"),"Qualified","Disqualified")</f>
        <v/>
      </c>
    </row>
    <row r="72">
      <c r="A72" s="5">
        <f>Raw_Data!A72</f>
        <v/>
      </c>
      <c r="B72" s="6">
        <f>Raw_Data!B72</f>
        <v/>
      </c>
      <c r="C72" s="6">
        <f>Raw_Data!C72</f>
        <v/>
      </c>
      <c r="D72" s="6">
        <f>IF(Raw_Data!D72&gt;=3,"PASS","FAIL")</f>
        <v/>
      </c>
      <c r="E72" s="6">
        <f>IF(Raw_Data!E72&gt;=50,"PASS","FAIL")</f>
        <v/>
      </c>
      <c r="F72" s="6">
        <f>IF(Raw_Data!F72&gt;=1000000,"PASS","FAIL")</f>
        <v/>
      </c>
      <c r="G72" s="6">
        <f>IF(ISNUMBER(SEARCH("@",Raw_Data!G72)),"PASS","FAIL")</f>
        <v/>
      </c>
      <c r="H72" s="6">
        <f>IF(OR(Raw_Data!C72="North America",Raw_Data!C72="Europe",Raw_Data!C72="Asia Pacific"),"PASS","FAIL")</f>
        <v/>
      </c>
      <c r="I72" s="6">
        <f>IF(Raw_Data!H72&lt;=1500000,"PASS","FAIL")</f>
        <v/>
      </c>
      <c r="J72" s="6">
        <f>IF(Raw_Data!D72&gt;=5,"PASS","FAIL")</f>
        <v/>
      </c>
      <c r="K72" s="6">
        <f>IF(Raw_Data!F72&gt;=5000000,"PASS","FAIL")</f>
        <v/>
      </c>
      <c r="L72" s="6">
        <f>IF(AND(D72="PASS",E72="PASS",F72="PASS",G72="PASS",H72="PASS",I72="PASS",J72="PASS",K72="PASS"),"Qualified","Disqualified")</f>
        <v/>
      </c>
    </row>
    <row r="73">
      <c r="A73" s="8">
        <f>Raw_Data!A73</f>
        <v/>
      </c>
      <c r="B73" s="9">
        <f>Raw_Data!B73</f>
        <v/>
      </c>
      <c r="C73" s="9">
        <f>Raw_Data!C73</f>
        <v/>
      </c>
      <c r="D73" s="9">
        <f>IF(Raw_Data!D73&gt;=3,"PASS","FAIL")</f>
        <v/>
      </c>
      <c r="E73" s="9">
        <f>IF(Raw_Data!E73&gt;=50,"PASS","FAIL")</f>
        <v/>
      </c>
      <c r="F73" s="9">
        <f>IF(Raw_Data!F73&gt;=1000000,"PASS","FAIL")</f>
        <v/>
      </c>
      <c r="G73" s="9">
        <f>IF(ISNUMBER(SEARCH("@",Raw_Data!G73)),"PASS","FAIL")</f>
        <v/>
      </c>
      <c r="H73" s="9">
        <f>IF(OR(Raw_Data!C73="North America",Raw_Data!C73="Europe",Raw_Data!C73="Asia Pacific"),"PASS","FAIL")</f>
        <v/>
      </c>
      <c r="I73" s="9">
        <f>IF(Raw_Data!H73&lt;=1500000,"PASS","FAIL")</f>
        <v/>
      </c>
      <c r="J73" s="9">
        <f>IF(Raw_Data!D73&gt;=5,"PASS","FAIL")</f>
        <v/>
      </c>
      <c r="K73" s="9">
        <f>IF(Raw_Data!F73&gt;=5000000,"PASS","FAIL")</f>
        <v/>
      </c>
      <c r="L73" s="9">
        <f>IF(AND(D73="PASS",E73="PASS",F73="PASS",G73="PASS",H73="PASS",I73="PASS",J73="PASS",K73="PASS"),"Qualified","Disqualified")</f>
        <v/>
      </c>
    </row>
    <row r="74">
      <c r="A74" s="5">
        <f>Raw_Data!A74</f>
        <v/>
      </c>
      <c r="B74" s="6">
        <f>Raw_Data!B74</f>
        <v/>
      </c>
      <c r="C74" s="6">
        <f>Raw_Data!C74</f>
        <v/>
      </c>
      <c r="D74" s="6">
        <f>IF(Raw_Data!D74&gt;=3,"PASS","FAIL")</f>
        <v/>
      </c>
      <c r="E74" s="6">
        <f>IF(Raw_Data!E74&gt;=50,"PASS","FAIL")</f>
        <v/>
      </c>
      <c r="F74" s="6">
        <f>IF(Raw_Data!F74&gt;=1000000,"PASS","FAIL")</f>
        <v/>
      </c>
      <c r="G74" s="6">
        <f>IF(ISNUMBER(SEARCH("@",Raw_Data!G74)),"PASS","FAIL")</f>
        <v/>
      </c>
      <c r="H74" s="6">
        <f>IF(OR(Raw_Data!C74="North America",Raw_Data!C74="Europe",Raw_Data!C74="Asia Pacific"),"PASS","FAIL")</f>
        <v/>
      </c>
      <c r="I74" s="6">
        <f>IF(Raw_Data!H74&lt;=1500000,"PASS","FAIL")</f>
        <v/>
      </c>
      <c r="J74" s="6">
        <f>IF(Raw_Data!D74&gt;=5,"PASS","FAIL")</f>
        <v/>
      </c>
      <c r="K74" s="6">
        <f>IF(Raw_Data!F74&gt;=5000000,"PASS","FAIL")</f>
        <v/>
      </c>
      <c r="L74" s="6">
        <f>IF(AND(D74="PASS",E74="PASS",F74="PASS",G74="PASS",H74="PASS",I74="PASS",J74="PASS",K74="PASS"),"Qualified","Disqualified")</f>
        <v/>
      </c>
    </row>
    <row r="75">
      <c r="A75" s="8">
        <f>Raw_Data!A75</f>
        <v/>
      </c>
      <c r="B75" s="9">
        <f>Raw_Data!B75</f>
        <v/>
      </c>
      <c r="C75" s="9">
        <f>Raw_Data!C75</f>
        <v/>
      </c>
      <c r="D75" s="9">
        <f>IF(Raw_Data!D75&gt;=3,"PASS","FAIL")</f>
        <v/>
      </c>
      <c r="E75" s="9">
        <f>IF(Raw_Data!E75&gt;=50,"PASS","FAIL")</f>
        <v/>
      </c>
      <c r="F75" s="9">
        <f>IF(Raw_Data!F75&gt;=1000000,"PASS","FAIL")</f>
        <v/>
      </c>
      <c r="G75" s="9">
        <f>IF(ISNUMBER(SEARCH("@",Raw_Data!G75)),"PASS","FAIL")</f>
        <v/>
      </c>
      <c r="H75" s="9">
        <f>IF(OR(Raw_Data!C75="North America",Raw_Data!C75="Europe",Raw_Data!C75="Asia Pacific"),"PASS","FAIL")</f>
        <v/>
      </c>
      <c r="I75" s="9">
        <f>IF(Raw_Data!H75&lt;=1500000,"PASS","FAIL")</f>
        <v/>
      </c>
      <c r="J75" s="9">
        <f>IF(Raw_Data!D75&gt;=5,"PASS","FAIL")</f>
        <v/>
      </c>
      <c r="K75" s="9">
        <f>IF(Raw_Data!F75&gt;=5000000,"PASS","FAIL")</f>
        <v/>
      </c>
      <c r="L75" s="9">
        <f>IF(AND(D75="PASS",E75="PASS",F75="PASS",G75="PASS",H75="PASS",I75="PASS",J75="PASS",K75="PASS"),"Qualified","Disqualified")</f>
        <v/>
      </c>
    </row>
    <row r="76">
      <c r="A76" s="5">
        <f>Raw_Data!A76</f>
        <v/>
      </c>
      <c r="B76" s="6">
        <f>Raw_Data!B76</f>
        <v/>
      </c>
      <c r="C76" s="6">
        <f>Raw_Data!C76</f>
        <v/>
      </c>
      <c r="D76" s="6">
        <f>IF(Raw_Data!D76&gt;=3,"PASS","FAIL")</f>
        <v/>
      </c>
      <c r="E76" s="6">
        <f>IF(Raw_Data!E76&gt;=50,"PASS","FAIL")</f>
        <v/>
      </c>
      <c r="F76" s="6">
        <f>IF(Raw_Data!F76&gt;=1000000,"PASS","FAIL")</f>
        <v/>
      </c>
      <c r="G76" s="6">
        <f>IF(ISNUMBER(SEARCH("@",Raw_Data!G76)),"PASS","FAIL")</f>
        <v/>
      </c>
      <c r="H76" s="6">
        <f>IF(OR(Raw_Data!C76="North America",Raw_Data!C76="Europe",Raw_Data!C76="Asia Pacific"),"PASS","FAIL")</f>
        <v/>
      </c>
      <c r="I76" s="6">
        <f>IF(Raw_Data!H76&lt;=1500000,"PASS","FAIL")</f>
        <v/>
      </c>
      <c r="J76" s="6">
        <f>IF(Raw_Data!D76&gt;=5,"PASS","FAIL")</f>
        <v/>
      </c>
      <c r="K76" s="6">
        <f>IF(Raw_Data!F76&gt;=5000000,"PASS","FAIL")</f>
        <v/>
      </c>
      <c r="L76" s="6">
        <f>IF(AND(D76="PASS",E76="PASS",F76="PASS",G76="PASS",H76="PASS",I76="PASS",J76="PASS",K76="PASS"),"Qualified","Disqualified")</f>
        <v/>
      </c>
    </row>
    <row r="77">
      <c r="A77" s="8">
        <f>Raw_Data!A77</f>
        <v/>
      </c>
      <c r="B77" s="9">
        <f>Raw_Data!B77</f>
        <v/>
      </c>
      <c r="C77" s="9">
        <f>Raw_Data!C77</f>
        <v/>
      </c>
      <c r="D77" s="9">
        <f>IF(Raw_Data!D77&gt;=3,"PASS","FAIL")</f>
        <v/>
      </c>
      <c r="E77" s="9">
        <f>IF(Raw_Data!E77&gt;=50,"PASS","FAIL")</f>
        <v/>
      </c>
      <c r="F77" s="9">
        <f>IF(Raw_Data!F77&gt;=1000000,"PASS","FAIL")</f>
        <v/>
      </c>
      <c r="G77" s="9">
        <f>IF(ISNUMBER(SEARCH("@",Raw_Data!G77)),"PASS","FAIL")</f>
        <v/>
      </c>
      <c r="H77" s="9">
        <f>IF(OR(Raw_Data!C77="North America",Raw_Data!C77="Europe",Raw_Data!C77="Asia Pacific"),"PASS","FAIL")</f>
        <v/>
      </c>
      <c r="I77" s="9">
        <f>IF(Raw_Data!H77&lt;=1500000,"PASS","FAIL")</f>
        <v/>
      </c>
      <c r="J77" s="9">
        <f>IF(Raw_Data!D77&gt;=5,"PASS","FAIL")</f>
        <v/>
      </c>
      <c r="K77" s="9">
        <f>IF(Raw_Data!F77&gt;=5000000,"PASS","FAIL")</f>
        <v/>
      </c>
      <c r="L77" s="9">
        <f>IF(AND(D77="PASS",E77="PASS",F77="PASS",G77="PASS",H77="PASS",I77="PASS",J77="PASS",K77="PASS"),"Qualified","Disqualified")</f>
        <v/>
      </c>
    </row>
    <row r="78">
      <c r="A78" s="5">
        <f>Raw_Data!A78</f>
        <v/>
      </c>
      <c r="B78" s="6">
        <f>Raw_Data!B78</f>
        <v/>
      </c>
      <c r="C78" s="6">
        <f>Raw_Data!C78</f>
        <v/>
      </c>
      <c r="D78" s="6">
        <f>IF(Raw_Data!D78&gt;=3,"PASS","FAIL")</f>
        <v/>
      </c>
      <c r="E78" s="6">
        <f>IF(Raw_Data!E78&gt;=50,"PASS","FAIL")</f>
        <v/>
      </c>
      <c r="F78" s="6">
        <f>IF(Raw_Data!F78&gt;=1000000,"PASS","FAIL")</f>
        <v/>
      </c>
      <c r="G78" s="6">
        <f>IF(ISNUMBER(SEARCH("@",Raw_Data!G78)),"PASS","FAIL")</f>
        <v/>
      </c>
      <c r="H78" s="6">
        <f>IF(OR(Raw_Data!C78="North America",Raw_Data!C78="Europe",Raw_Data!C78="Asia Pacific"),"PASS","FAIL")</f>
        <v/>
      </c>
      <c r="I78" s="6">
        <f>IF(Raw_Data!H78&lt;=1500000,"PASS","FAIL")</f>
        <v/>
      </c>
      <c r="J78" s="6">
        <f>IF(Raw_Data!D78&gt;=5,"PASS","FAIL")</f>
        <v/>
      </c>
      <c r="K78" s="6">
        <f>IF(Raw_Data!F78&gt;=5000000,"PASS","FAIL")</f>
        <v/>
      </c>
      <c r="L78" s="6">
        <f>IF(AND(D78="PASS",E78="PASS",F78="PASS",G78="PASS",H78="PASS",I78="PASS",J78="PASS",K78="PASS"),"Qualified","Disqualified")</f>
        <v/>
      </c>
    </row>
    <row r="79">
      <c r="A79" s="8">
        <f>Raw_Data!A79</f>
        <v/>
      </c>
      <c r="B79" s="9">
        <f>Raw_Data!B79</f>
        <v/>
      </c>
      <c r="C79" s="9">
        <f>Raw_Data!C79</f>
        <v/>
      </c>
      <c r="D79" s="9">
        <f>IF(Raw_Data!D79&gt;=3,"PASS","FAIL")</f>
        <v/>
      </c>
      <c r="E79" s="9">
        <f>IF(Raw_Data!E79&gt;=50,"PASS","FAIL")</f>
        <v/>
      </c>
      <c r="F79" s="9">
        <f>IF(Raw_Data!F79&gt;=1000000,"PASS","FAIL")</f>
        <v/>
      </c>
      <c r="G79" s="9">
        <f>IF(ISNUMBER(SEARCH("@",Raw_Data!G79)),"PASS","FAIL")</f>
        <v/>
      </c>
      <c r="H79" s="9">
        <f>IF(OR(Raw_Data!C79="North America",Raw_Data!C79="Europe",Raw_Data!C79="Asia Pacific"),"PASS","FAIL")</f>
        <v/>
      </c>
      <c r="I79" s="9">
        <f>IF(Raw_Data!H79&lt;=1500000,"PASS","FAIL")</f>
        <v/>
      </c>
      <c r="J79" s="9">
        <f>IF(Raw_Data!D79&gt;=5,"PASS","FAIL")</f>
        <v/>
      </c>
      <c r="K79" s="9">
        <f>IF(Raw_Data!F79&gt;=5000000,"PASS","FAIL")</f>
        <v/>
      </c>
      <c r="L79" s="9">
        <f>IF(AND(D79="PASS",E79="PASS",F79="PASS",G79="PASS",H79="PASS",I79="PASS",J79="PASS",K79="PASS"),"Qualified","Disqualified")</f>
        <v/>
      </c>
    </row>
    <row r="80">
      <c r="A80" s="5">
        <f>Raw_Data!A80</f>
        <v/>
      </c>
      <c r="B80" s="6">
        <f>Raw_Data!B80</f>
        <v/>
      </c>
      <c r="C80" s="6">
        <f>Raw_Data!C80</f>
        <v/>
      </c>
      <c r="D80" s="6">
        <f>IF(Raw_Data!D80&gt;=3,"PASS","FAIL")</f>
        <v/>
      </c>
      <c r="E80" s="6">
        <f>IF(Raw_Data!E80&gt;=50,"PASS","FAIL")</f>
        <v/>
      </c>
      <c r="F80" s="6">
        <f>IF(Raw_Data!F80&gt;=1000000,"PASS","FAIL")</f>
        <v/>
      </c>
      <c r="G80" s="6">
        <f>IF(ISNUMBER(SEARCH("@",Raw_Data!G80)),"PASS","FAIL")</f>
        <v/>
      </c>
      <c r="H80" s="6">
        <f>IF(OR(Raw_Data!C80="North America",Raw_Data!C80="Europe",Raw_Data!C80="Asia Pacific"),"PASS","FAIL")</f>
        <v/>
      </c>
      <c r="I80" s="6">
        <f>IF(Raw_Data!H80&lt;=1500000,"PASS","FAIL")</f>
        <v/>
      </c>
      <c r="J80" s="6">
        <f>IF(Raw_Data!D80&gt;=5,"PASS","FAIL")</f>
        <v/>
      </c>
      <c r="K80" s="6">
        <f>IF(Raw_Data!F80&gt;=5000000,"PASS","FAIL")</f>
        <v/>
      </c>
      <c r="L80" s="6">
        <f>IF(AND(D80="PASS",E80="PASS",F80="PASS",G80="PASS",H80="PASS",I80="PASS",J80="PASS",K80="PASS"),"Qualified","Disqualified")</f>
        <v/>
      </c>
    </row>
    <row r="81">
      <c r="A81" s="8">
        <f>Raw_Data!A81</f>
        <v/>
      </c>
      <c r="B81" s="9">
        <f>Raw_Data!B81</f>
        <v/>
      </c>
      <c r="C81" s="9">
        <f>Raw_Data!C81</f>
        <v/>
      </c>
      <c r="D81" s="9">
        <f>IF(Raw_Data!D81&gt;=3,"PASS","FAIL")</f>
        <v/>
      </c>
      <c r="E81" s="9">
        <f>IF(Raw_Data!E81&gt;=50,"PASS","FAIL")</f>
        <v/>
      </c>
      <c r="F81" s="9">
        <f>IF(Raw_Data!F81&gt;=1000000,"PASS","FAIL")</f>
        <v/>
      </c>
      <c r="G81" s="9">
        <f>IF(ISNUMBER(SEARCH("@",Raw_Data!G81)),"PASS","FAIL")</f>
        <v/>
      </c>
      <c r="H81" s="9">
        <f>IF(OR(Raw_Data!C81="North America",Raw_Data!C81="Europe",Raw_Data!C81="Asia Pacific"),"PASS","FAIL")</f>
        <v/>
      </c>
      <c r="I81" s="9">
        <f>IF(Raw_Data!H81&lt;=1500000,"PASS","FAIL")</f>
        <v/>
      </c>
      <c r="J81" s="9">
        <f>IF(Raw_Data!D81&gt;=5,"PASS","FAIL")</f>
        <v/>
      </c>
      <c r="K81" s="9">
        <f>IF(Raw_Data!F81&gt;=5000000,"PASS","FAIL")</f>
        <v/>
      </c>
      <c r="L81" s="9">
        <f>IF(AND(D81="PASS",E81="PASS",F81="PASS",G81="PASS",H81="PASS",I81="PASS",J81="PASS",K81="PASS"),"Qualified","Disqualified")</f>
        <v/>
      </c>
    </row>
    <row r="82">
      <c r="A82" s="5">
        <f>Raw_Data!A82</f>
        <v/>
      </c>
      <c r="B82" s="6">
        <f>Raw_Data!B82</f>
        <v/>
      </c>
      <c r="C82" s="6">
        <f>Raw_Data!C82</f>
        <v/>
      </c>
      <c r="D82" s="6">
        <f>IF(Raw_Data!D82&gt;=3,"PASS","FAIL")</f>
        <v/>
      </c>
      <c r="E82" s="6">
        <f>IF(Raw_Data!E82&gt;=50,"PASS","FAIL")</f>
        <v/>
      </c>
      <c r="F82" s="6">
        <f>IF(Raw_Data!F82&gt;=1000000,"PASS","FAIL")</f>
        <v/>
      </c>
      <c r="G82" s="6">
        <f>IF(ISNUMBER(SEARCH("@",Raw_Data!G82)),"PASS","FAIL")</f>
        <v/>
      </c>
      <c r="H82" s="6">
        <f>IF(OR(Raw_Data!C82="North America",Raw_Data!C82="Europe",Raw_Data!C82="Asia Pacific"),"PASS","FAIL")</f>
        <v/>
      </c>
      <c r="I82" s="6">
        <f>IF(Raw_Data!H82&lt;=1500000,"PASS","FAIL")</f>
        <v/>
      </c>
      <c r="J82" s="6">
        <f>IF(Raw_Data!D82&gt;=5,"PASS","FAIL")</f>
        <v/>
      </c>
      <c r="K82" s="6">
        <f>IF(Raw_Data!F82&gt;=5000000,"PASS","FAIL")</f>
        <v/>
      </c>
      <c r="L82" s="6">
        <f>IF(AND(D82="PASS",E82="PASS",F82="PASS",G82="PASS",H82="PASS",I82="PASS",J82="PASS",K82="PASS"),"Qualified","Disqualified")</f>
        <v/>
      </c>
    </row>
    <row r="83">
      <c r="A83" s="8">
        <f>Raw_Data!A83</f>
        <v/>
      </c>
      <c r="B83" s="9">
        <f>Raw_Data!B83</f>
        <v/>
      </c>
      <c r="C83" s="9">
        <f>Raw_Data!C83</f>
        <v/>
      </c>
      <c r="D83" s="9">
        <f>IF(Raw_Data!D83&gt;=3,"PASS","FAIL")</f>
        <v/>
      </c>
      <c r="E83" s="9">
        <f>IF(Raw_Data!E83&gt;=50,"PASS","FAIL")</f>
        <v/>
      </c>
      <c r="F83" s="9">
        <f>IF(Raw_Data!F83&gt;=1000000,"PASS","FAIL")</f>
        <v/>
      </c>
      <c r="G83" s="9">
        <f>IF(ISNUMBER(SEARCH("@",Raw_Data!G83)),"PASS","FAIL")</f>
        <v/>
      </c>
      <c r="H83" s="9">
        <f>IF(OR(Raw_Data!C83="North America",Raw_Data!C83="Europe",Raw_Data!C83="Asia Pacific"),"PASS","FAIL")</f>
        <v/>
      </c>
      <c r="I83" s="9">
        <f>IF(Raw_Data!H83&lt;=1500000,"PASS","FAIL")</f>
        <v/>
      </c>
      <c r="J83" s="9">
        <f>IF(Raw_Data!D83&gt;=5,"PASS","FAIL")</f>
        <v/>
      </c>
      <c r="K83" s="9">
        <f>IF(Raw_Data!F83&gt;=5000000,"PASS","FAIL")</f>
        <v/>
      </c>
      <c r="L83" s="9">
        <f>IF(AND(D83="PASS",E83="PASS",F83="PASS",G83="PASS",H83="PASS",I83="PASS",J83="PASS",K83="PASS"),"Qualified","Disqualified")</f>
        <v/>
      </c>
    </row>
    <row r="84">
      <c r="A84" s="5">
        <f>Raw_Data!A84</f>
        <v/>
      </c>
      <c r="B84" s="6">
        <f>Raw_Data!B84</f>
        <v/>
      </c>
      <c r="C84" s="6">
        <f>Raw_Data!C84</f>
        <v/>
      </c>
      <c r="D84" s="6">
        <f>IF(Raw_Data!D84&gt;=3,"PASS","FAIL")</f>
        <v/>
      </c>
      <c r="E84" s="6">
        <f>IF(Raw_Data!E84&gt;=50,"PASS","FAIL")</f>
        <v/>
      </c>
      <c r="F84" s="6">
        <f>IF(Raw_Data!F84&gt;=1000000,"PASS","FAIL")</f>
        <v/>
      </c>
      <c r="G84" s="6">
        <f>IF(ISNUMBER(SEARCH("@",Raw_Data!G84)),"PASS","FAIL")</f>
        <v/>
      </c>
      <c r="H84" s="6">
        <f>IF(OR(Raw_Data!C84="North America",Raw_Data!C84="Europe",Raw_Data!C84="Asia Pacific"),"PASS","FAIL")</f>
        <v/>
      </c>
      <c r="I84" s="6">
        <f>IF(Raw_Data!H84&lt;=1500000,"PASS","FAIL")</f>
        <v/>
      </c>
      <c r="J84" s="6">
        <f>IF(Raw_Data!D84&gt;=5,"PASS","FAIL")</f>
        <v/>
      </c>
      <c r="K84" s="6">
        <f>IF(Raw_Data!F84&gt;=5000000,"PASS","FAIL")</f>
        <v/>
      </c>
      <c r="L84" s="6">
        <f>IF(AND(D84="PASS",E84="PASS",F84="PASS",G84="PASS",H84="PASS",I84="PASS",J84="PASS",K84="PASS"),"Qualified","Disqualified")</f>
        <v/>
      </c>
    </row>
    <row r="85">
      <c r="A85" s="8">
        <f>Raw_Data!A85</f>
        <v/>
      </c>
      <c r="B85" s="9">
        <f>Raw_Data!B85</f>
        <v/>
      </c>
      <c r="C85" s="9">
        <f>Raw_Data!C85</f>
        <v/>
      </c>
      <c r="D85" s="9">
        <f>IF(Raw_Data!D85&gt;=3,"PASS","FAIL")</f>
        <v/>
      </c>
      <c r="E85" s="9">
        <f>IF(Raw_Data!E85&gt;=50,"PASS","FAIL")</f>
        <v/>
      </c>
      <c r="F85" s="9">
        <f>IF(Raw_Data!F85&gt;=1000000,"PASS","FAIL")</f>
        <v/>
      </c>
      <c r="G85" s="9">
        <f>IF(ISNUMBER(SEARCH("@",Raw_Data!G85)),"PASS","FAIL")</f>
        <v/>
      </c>
      <c r="H85" s="9">
        <f>IF(OR(Raw_Data!C85="North America",Raw_Data!C85="Europe",Raw_Data!C85="Asia Pacific"),"PASS","FAIL")</f>
        <v/>
      </c>
      <c r="I85" s="9">
        <f>IF(Raw_Data!H85&lt;=1500000,"PASS","FAIL")</f>
        <v/>
      </c>
      <c r="J85" s="9">
        <f>IF(Raw_Data!D85&gt;=5,"PASS","FAIL")</f>
        <v/>
      </c>
      <c r="K85" s="9">
        <f>IF(Raw_Data!F85&gt;=5000000,"PASS","FAIL")</f>
        <v/>
      </c>
      <c r="L85" s="9">
        <f>IF(AND(D85="PASS",E85="PASS",F85="PASS",G85="PASS",H85="PASS",I85="PASS",J85="PASS",K85="PASS"),"Qualified","Disqualified")</f>
        <v/>
      </c>
    </row>
    <row r="86">
      <c r="A86" s="5">
        <f>Raw_Data!A86</f>
        <v/>
      </c>
      <c r="B86" s="6">
        <f>Raw_Data!B86</f>
        <v/>
      </c>
      <c r="C86" s="6">
        <f>Raw_Data!C86</f>
        <v/>
      </c>
      <c r="D86" s="6">
        <f>IF(Raw_Data!D86&gt;=3,"PASS","FAIL")</f>
        <v/>
      </c>
      <c r="E86" s="6">
        <f>IF(Raw_Data!E86&gt;=50,"PASS","FAIL")</f>
        <v/>
      </c>
      <c r="F86" s="6">
        <f>IF(Raw_Data!F86&gt;=1000000,"PASS","FAIL")</f>
        <v/>
      </c>
      <c r="G86" s="6">
        <f>IF(ISNUMBER(SEARCH("@",Raw_Data!G86)),"PASS","FAIL")</f>
        <v/>
      </c>
      <c r="H86" s="6">
        <f>IF(OR(Raw_Data!C86="North America",Raw_Data!C86="Europe",Raw_Data!C86="Asia Pacific"),"PASS","FAIL")</f>
        <v/>
      </c>
      <c r="I86" s="6">
        <f>IF(Raw_Data!H86&lt;=1500000,"PASS","FAIL")</f>
        <v/>
      </c>
      <c r="J86" s="6">
        <f>IF(Raw_Data!D86&gt;=5,"PASS","FAIL")</f>
        <v/>
      </c>
      <c r="K86" s="6">
        <f>IF(Raw_Data!F86&gt;=5000000,"PASS","FAIL")</f>
        <v/>
      </c>
      <c r="L86" s="6">
        <f>IF(AND(D86="PASS",E86="PASS",F86="PASS",G86="PASS",H86="PASS",I86="PASS",J86="PASS",K86="PASS"),"Qualified","Disqualified")</f>
        <v/>
      </c>
    </row>
    <row r="87">
      <c r="A87" s="8">
        <f>Raw_Data!A87</f>
        <v/>
      </c>
      <c r="B87" s="9">
        <f>Raw_Data!B87</f>
        <v/>
      </c>
      <c r="C87" s="9">
        <f>Raw_Data!C87</f>
        <v/>
      </c>
      <c r="D87" s="9">
        <f>IF(Raw_Data!D87&gt;=3,"PASS","FAIL")</f>
        <v/>
      </c>
      <c r="E87" s="9">
        <f>IF(Raw_Data!E87&gt;=50,"PASS","FAIL")</f>
        <v/>
      </c>
      <c r="F87" s="9">
        <f>IF(Raw_Data!F87&gt;=1000000,"PASS","FAIL")</f>
        <v/>
      </c>
      <c r="G87" s="9">
        <f>IF(ISNUMBER(SEARCH("@",Raw_Data!G87)),"PASS","FAIL")</f>
        <v/>
      </c>
      <c r="H87" s="9">
        <f>IF(OR(Raw_Data!C87="North America",Raw_Data!C87="Europe",Raw_Data!C87="Asia Pacific"),"PASS","FAIL")</f>
        <v/>
      </c>
      <c r="I87" s="9">
        <f>IF(Raw_Data!H87&lt;=1500000,"PASS","FAIL")</f>
        <v/>
      </c>
      <c r="J87" s="9">
        <f>IF(Raw_Data!D87&gt;=5,"PASS","FAIL")</f>
        <v/>
      </c>
      <c r="K87" s="9">
        <f>IF(Raw_Data!F87&gt;=5000000,"PASS","FAIL")</f>
        <v/>
      </c>
      <c r="L87" s="9">
        <f>IF(AND(D87="PASS",E87="PASS",F87="PASS",G87="PASS",H87="PASS",I87="PASS",J87="PASS",K87="PASS"),"Qualified","Disqualified")</f>
        <v/>
      </c>
    </row>
    <row r="88">
      <c r="A88" s="5">
        <f>Raw_Data!A88</f>
        <v/>
      </c>
      <c r="B88" s="6">
        <f>Raw_Data!B88</f>
        <v/>
      </c>
      <c r="C88" s="6">
        <f>Raw_Data!C88</f>
        <v/>
      </c>
      <c r="D88" s="6">
        <f>IF(Raw_Data!D88&gt;=3,"PASS","FAIL")</f>
        <v/>
      </c>
      <c r="E88" s="6">
        <f>IF(Raw_Data!E88&gt;=50,"PASS","FAIL")</f>
        <v/>
      </c>
      <c r="F88" s="6">
        <f>IF(Raw_Data!F88&gt;=1000000,"PASS","FAIL")</f>
        <v/>
      </c>
      <c r="G88" s="6">
        <f>IF(ISNUMBER(SEARCH("@",Raw_Data!G88)),"PASS","FAIL")</f>
        <v/>
      </c>
      <c r="H88" s="6">
        <f>IF(OR(Raw_Data!C88="North America",Raw_Data!C88="Europe",Raw_Data!C88="Asia Pacific"),"PASS","FAIL")</f>
        <v/>
      </c>
      <c r="I88" s="6">
        <f>IF(Raw_Data!H88&lt;=1500000,"PASS","FAIL")</f>
        <v/>
      </c>
      <c r="J88" s="6">
        <f>IF(Raw_Data!D88&gt;=5,"PASS","FAIL")</f>
        <v/>
      </c>
      <c r="K88" s="6">
        <f>IF(Raw_Data!F88&gt;=5000000,"PASS","FAIL")</f>
        <v/>
      </c>
      <c r="L88" s="6">
        <f>IF(AND(D88="PASS",E88="PASS",F88="PASS",G88="PASS",H88="PASS",I88="PASS",J88="PASS",K88="PASS"),"Qualified","Disqualified")</f>
        <v/>
      </c>
    </row>
    <row r="89">
      <c r="A89" s="8">
        <f>Raw_Data!A89</f>
        <v/>
      </c>
      <c r="B89" s="9">
        <f>Raw_Data!B89</f>
        <v/>
      </c>
      <c r="C89" s="9">
        <f>Raw_Data!C89</f>
        <v/>
      </c>
      <c r="D89" s="9">
        <f>IF(Raw_Data!D89&gt;=3,"PASS","FAIL")</f>
        <v/>
      </c>
      <c r="E89" s="9">
        <f>IF(Raw_Data!E89&gt;=50,"PASS","FAIL")</f>
        <v/>
      </c>
      <c r="F89" s="9">
        <f>IF(Raw_Data!F89&gt;=1000000,"PASS","FAIL")</f>
        <v/>
      </c>
      <c r="G89" s="9">
        <f>IF(ISNUMBER(SEARCH("@",Raw_Data!G89)),"PASS","FAIL")</f>
        <v/>
      </c>
      <c r="H89" s="9">
        <f>IF(OR(Raw_Data!C89="North America",Raw_Data!C89="Europe",Raw_Data!C89="Asia Pacific"),"PASS","FAIL")</f>
        <v/>
      </c>
      <c r="I89" s="9">
        <f>IF(Raw_Data!H89&lt;=1500000,"PASS","FAIL")</f>
        <v/>
      </c>
      <c r="J89" s="9">
        <f>IF(Raw_Data!D89&gt;=5,"PASS","FAIL")</f>
        <v/>
      </c>
      <c r="K89" s="9">
        <f>IF(Raw_Data!F89&gt;=5000000,"PASS","FAIL")</f>
        <v/>
      </c>
      <c r="L89" s="9">
        <f>IF(AND(D89="PASS",E89="PASS",F89="PASS",G89="PASS",H89="PASS",I89="PASS",J89="PASS",K89="PASS"),"Qualified","Disqualified")</f>
        <v/>
      </c>
    </row>
    <row r="90">
      <c r="A90" s="5">
        <f>Raw_Data!A90</f>
        <v/>
      </c>
      <c r="B90" s="6">
        <f>Raw_Data!B90</f>
        <v/>
      </c>
      <c r="C90" s="6">
        <f>Raw_Data!C90</f>
        <v/>
      </c>
      <c r="D90" s="6">
        <f>IF(Raw_Data!D90&gt;=3,"PASS","FAIL")</f>
        <v/>
      </c>
      <c r="E90" s="6">
        <f>IF(Raw_Data!E90&gt;=50,"PASS","FAIL")</f>
        <v/>
      </c>
      <c r="F90" s="6">
        <f>IF(Raw_Data!F90&gt;=1000000,"PASS","FAIL")</f>
        <v/>
      </c>
      <c r="G90" s="6">
        <f>IF(ISNUMBER(SEARCH("@",Raw_Data!G90)),"PASS","FAIL")</f>
        <v/>
      </c>
      <c r="H90" s="6">
        <f>IF(OR(Raw_Data!C90="North America",Raw_Data!C90="Europe",Raw_Data!C90="Asia Pacific"),"PASS","FAIL")</f>
        <v/>
      </c>
      <c r="I90" s="6">
        <f>IF(Raw_Data!H90&lt;=1500000,"PASS","FAIL")</f>
        <v/>
      </c>
      <c r="J90" s="6">
        <f>IF(Raw_Data!D90&gt;=5,"PASS","FAIL")</f>
        <v/>
      </c>
      <c r="K90" s="6">
        <f>IF(Raw_Data!F90&gt;=5000000,"PASS","FAIL")</f>
        <v/>
      </c>
      <c r="L90" s="6">
        <f>IF(AND(D90="PASS",E90="PASS",F90="PASS",G90="PASS",H90="PASS",I90="PASS",J90="PASS",K90="PASS"),"Qualified","Disqualified")</f>
        <v/>
      </c>
    </row>
    <row r="91">
      <c r="A91" s="8">
        <f>Raw_Data!A91</f>
        <v/>
      </c>
      <c r="B91" s="9">
        <f>Raw_Data!B91</f>
        <v/>
      </c>
      <c r="C91" s="9">
        <f>Raw_Data!C91</f>
        <v/>
      </c>
      <c r="D91" s="9">
        <f>IF(Raw_Data!D91&gt;=3,"PASS","FAIL")</f>
        <v/>
      </c>
      <c r="E91" s="9">
        <f>IF(Raw_Data!E91&gt;=50,"PASS","FAIL")</f>
        <v/>
      </c>
      <c r="F91" s="9">
        <f>IF(Raw_Data!F91&gt;=1000000,"PASS","FAIL")</f>
        <v/>
      </c>
      <c r="G91" s="9">
        <f>IF(ISNUMBER(SEARCH("@",Raw_Data!G91)),"PASS","FAIL")</f>
        <v/>
      </c>
      <c r="H91" s="9">
        <f>IF(OR(Raw_Data!C91="North America",Raw_Data!C91="Europe",Raw_Data!C91="Asia Pacific"),"PASS","FAIL")</f>
        <v/>
      </c>
      <c r="I91" s="9">
        <f>IF(Raw_Data!H91&lt;=1500000,"PASS","FAIL")</f>
        <v/>
      </c>
      <c r="J91" s="9">
        <f>IF(Raw_Data!D91&gt;=5,"PASS","FAIL")</f>
        <v/>
      </c>
      <c r="K91" s="9">
        <f>IF(Raw_Data!F91&gt;=5000000,"PASS","FAIL")</f>
        <v/>
      </c>
      <c r="L91" s="9">
        <f>IF(AND(D91="PASS",E91="PASS",F91="PASS",G91="PASS",H91="PASS",I91="PASS",J91="PASS",K91="PASS"),"Qualified","Disqualified")</f>
        <v/>
      </c>
    </row>
    <row r="92">
      <c r="A92" s="5">
        <f>Raw_Data!A92</f>
        <v/>
      </c>
      <c r="B92" s="6">
        <f>Raw_Data!B92</f>
        <v/>
      </c>
      <c r="C92" s="6">
        <f>Raw_Data!C92</f>
        <v/>
      </c>
      <c r="D92" s="6">
        <f>IF(Raw_Data!D92&gt;=3,"PASS","FAIL")</f>
        <v/>
      </c>
      <c r="E92" s="6">
        <f>IF(Raw_Data!E92&gt;=50,"PASS","FAIL")</f>
        <v/>
      </c>
      <c r="F92" s="6">
        <f>IF(Raw_Data!F92&gt;=1000000,"PASS","FAIL")</f>
        <v/>
      </c>
      <c r="G92" s="6">
        <f>IF(ISNUMBER(SEARCH("@",Raw_Data!G92)),"PASS","FAIL")</f>
        <v/>
      </c>
      <c r="H92" s="6">
        <f>IF(OR(Raw_Data!C92="North America",Raw_Data!C92="Europe",Raw_Data!C92="Asia Pacific"),"PASS","FAIL")</f>
        <v/>
      </c>
      <c r="I92" s="6">
        <f>IF(Raw_Data!H92&lt;=1500000,"PASS","FAIL")</f>
        <v/>
      </c>
      <c r="J92" s="6">
        <f>IF(Raw_Data!D92&gt;=5,"PASS","FAIL")</f>
        <v/>
      </c>
      <c r="K92" s="6">
        <f>IF(Raw_Data!F92&gt;=5000000,"PASS","FAIL")</f>
        <v/>
      </c>
      <c r="L92" s="6">
        <f>IF(AND(D92="PASS",E92="PASS",F92="PASS",G92="PASS",H92="PASS",I92="PASS",J92="PASS",K92="PASS"),"Qualified","Disqualified")</f>
        <v/>
      </c>
    </row>
    <row r="93">
      <c r="A93" s="8">
        <f>Raw_Data!A93</f>
        <v/>
      </c>
      <c r="B93" s="9">
        <f>Raw_Data!B93</f>
        <v/>
      </c>
      <c r="C93" s="9">
        <f>Raw_Data!C93</f>
        <v/>
      </c>
      <c r="D93" s="9">
        <f>IF(Raw_Data!D93&gt;=3,"PASS","FAIL")</f>
        <v/>
      </c>
      <c r="E93" s="9">
        <f>IF(Raw_Data!E93&gt;=50,"PASS","FAIL")</f>
        <v/>
      </c>
      <c r="F93" s="9">
        <f>IF(Raw_Data!F93&gt;=1000000,"PASS","FAIL")</f>
        <v/>
      </c>
      <c r="G93" s="9">
        <f>IF(ISNUMBER(SEARCH("@",Raw_Data!G93)),"PASS","FAIL")</f>
        <v/>
      </c>
      <c r="H93" s="9">
        <f>IF(OR(Raw_Data!C93="North America",Raw_Data!C93="Europe",Raw_Data!C93="Asia Pacific"),"PASS","FAIL")</f>
        <v/>
      </c>
      <c r="I93" s="9">
        <f>IF(Raw_Data!H93&lt;=1500000,"PASS","FAIL")</f>
        <v/>
      </c>
      <c r="J93" s="9">
        <f>IF(Raw_Data!D93&gt;=5,"PASS","FAIL")</f>
        <v/>
      </c>
      <c r="K93" s="9">
        <f>IF(Raw_Data!F93&gt;=5000000,"PASS","FAIL")</f>
        <v/>
      </c>
      <c r="L93" s="9">
        <f>IF(AND(D93="PASS",E93="PASS",F93="PASS",G93="PASS",H93="PASS",I93="PASS",J93="PASS",K93="PASS"),"Qualified","Disqualified")</f>
        <v/>
      </c>
    </row>
    <row r="94">
      <c r="A94" s="5">
        <f>Raw_Data!A94</f>
        <v/>
      </c>
      <c r="B94" s="6">
        <f>Raw_Data!B94</f>
        <v/>
      </c>
      <c r="C94" s="6">
        <f>Raw_Data!C94</f>
        <v/>
      </c>
      <c r="D94" s="6">
        <f>IF(Raw_Data!D94&gt;=3,"PASS","FAIL")</f>
        <v/>
      </c>
      <c r="E94" s="6">
        <f>IF(Raw_Data!E94&gt;=50,"PASS","FAIL")</f>
        <v/>
      </c>
      <c r="F94" s="6">
        <f>IF(Raw_Data!F94&gt;=1000000,"PASS","FAIL")</f>
        <v/>
      </c>
      <c r="G94" s="6">
        <f>IF(ISNUMBER(SEARCH("@",Raw_Data!G94)),"PASS","FAIL")</f>
        <v/>
      </c>
      <c r="H94" s="6">
        <f>IF(OR(Raw_Data!C94="North America",Raw_Data!C94="Europe",Raw_Data!C94="Asia Pacific"),"PASS","FAIL")</f>
        <v/>
      </c>
      <c r="I94" s="6">
        <f>IF(Raw_Data!H94&lt;=1500000,"PASS","FAIL")</f>
        <v/>
      </c>
      <c r="J94" s="6">
        <f>IF(Raw_Data!D94&gt;=5,"PASS","FAIL")</f>
        <v/>
      </c>
      <c r="K94" s="6">
        <f>IF(Raw_Data!F94&gt;=5000000,"PASS","FAIL")</f>
        <v/>
      </c>
      <c r="L94" s="6">
        <f>IF(AND(D94="PASS",E94="PASS",F94="PASS",G94="PASS",H94="PASS",I94="PASS",J94="PASS",K94="PASS"),"Qualified","Disqualified")</f>
        <v/>
      </c>
    </row>
    <row r="95">
      <c r="A95" s="8">
        <f>Raw_Data!A95</f>
        <v/>
      </c>
      <c r="B95" s="9">
        <f>Raw_Data!B95</f>
        <v/>
      </c>
      <c r="C95" s="9">
        <f>Raw_Data!C95</f>
        <v/>
      </c>
      <c r="D95" s="9">
        <f>IF(Raw_Data!D95&gt;=3,"PASS","FAIL")</f>
        <v/>
      </c>
      <c r="E95" s="9">
        <f>IF(Raw_Data!E95&gt;=50,"PASS","FAIL")</f>
        <v/>
      </c>
      <c r="F95" s="9">
        <f>IF(Raw_Data!F95&gt;=1000000,"PASS","FAIL")</f>
        <v/>
      </c>
      <c r="G95" s="9">
        <f>IF(ISNUMBER(SEARCH("@",Raw_Data!G95)),"PASS","FAIL")</f>
        <v/>
      </c>
      <c r="H95" s="9">
        <f>IF(OR(Raw_Data!C95="North America",Raw_Data!C95="Europe",Raw_Data!C95="Asia Pacific"),"PASS","FAIL")</f>
        <v/>
      </c>
      <c r="I95" s="9">
        <f>IF(Raw_Data!H95&lt;=1500000,"PASS","FAIL")</f>
        <v/>
      </c>
      <c r="J95" s="9">
        <f>IF(Raw_Data!D95&gt;=5,"PASS","FAIL")</f>
        <v/>
      </c>
      <c r="K95" s="9">
        <f>IF(Raw_Data!F95&gt;=5000000,"PASS","FAIL")</f>
        <v/>
      </c>
      <c r="L95" s="9">
        <f>IF(AND(D95="PASS",E95="PASS",F95="PASS",G95="PASS",H95="PASS",I95="PASS",J95="PASS",K95="PASS"),"Qualified","Disqualified")</f>
        <v/>
      </c>
    </row>
    <row r="96">
      <c r="A96" s="5">
        <f>Raw_Data!A96</f>
        <v/>
      </c>
      <c r="B96" s="6">
        <f>Raw_Data!B96</f>
        <v/>
      </c>
      <c r="C96" s="6">
        <f>Raw_Data!C96</f>
        <v/>
      </c>
      <c r="D96" s="6">
        <f>IF(Raw_Data!D96&gt;=3,"PASS","FAIL")</f>
        <v/>
      </c>
      <c r="E96" s="6">
        <f>IF(Raw_Data!E96&gt;=50,"PASS","FAIL")</f>
        <v/>
      </c>
      <c r="F96" s="6">
        <f>IF(Raw_Data!F96&gt;=1000000,"PASS","FAIL")</f>
        <v/>
      </c>
      <c r="G96" s="6">
        <f>IF(ISNUMBER(SEARCH("@",Raw_Data!G96)),"PASS","FAIL")</f>
        <v/>
      </c>
      <c r="H96" s="6">
        <f>IF(OR(Raw_Data!C96="North America",Raw_Data!C96="Europe",Raw_Data!C96="Asia Pacific"),"PASS","FAIL")</f>
        <v/>
      </c>
      <c r="I96" s="6">
        <f>IF(Raw_Data!H96&lt;=1500000,"PASS","FAIL")</f>
        <v/>
      </c>
      <c r="J96" s="6">
        <f>IF(Raw_Data!D96&gt;=5,"PASS","FAIL")</f>
        <v/>
      </c>
      <c r="K96" s="6">
        <f>IF(Raw_Data!F96&gt;=5000000,"PASS","FAIL")</f>
        <v/>
      </c>
      <c r="L96" s="6">
        <f>IF(AND(D96="PASS",E96="PASS",F96="PASS",G96="PASS",H96="PASS",I96="PASS",J96="PASS",K96="PASS"),"Qualified","Disqualified")</f>
        <v/>
      </c>
    </row>
    <row r="97">
      <c r="A97" s="8">
        <f>Raw_Data!A97</f>
        <v/>
      </c>
      <c r="B97" s="9">
        <f>Raw_Data!B97</f>
        <v/>
      </c>
      <c r="C97" s="9">
        <f>Raw_Data!C97</f>
        <v/>
      </c>
      <c r="D97" s="9">
        <f>IF(Raw_Data!D97&gt;=3,"PASS","FAIL")</f>
        <v/>
      </c>
      <c r="E97" s="9">
        <f>IF(Raw_Data!E97&gt;=50,"PASS","FAIL")</f>
        <v/>
      </c>
      <c r="F97" s="9">
        <f>IF(Raw_Data!F97&gt;=1000000,"PASS","FAIL")</f>
        <v/>
      </c>
      <c r="G97" s="9">
        <f>IF(ISNUMBER(SEARCH("@",Raw_Data!G97)),"PASS","FAIL")</f>
        <v/>
      </c>
      <c r="H97" s="9">
        <f>IF(OR(Raw_Data!C97="North America",Raw_Data!C97="Europe",Raw_Data!C97="Asia Pacific"),"PASS","FAIL")</f>
        <v/>
      </c>
      <c r="I97" s="9">
        <f>IF(Raw_Data!H97&lt;=1500000,"PASS","FAIL")</f>
        <v/>
      </c>
      <c r="J97" s="9">
        <f>IF(Raw_Data!D97&gt;=5,"PASS","FAIL")</f>
        <v/>
      </c>
      <c r="K97" s="9">
        <f>IF(Raw_Data!F97&gt;=5000000,"PASS","FAIL")</f>
        <v/>
      </c>
      <c r="L97" s="9">
        <f>IF(AND(D97="PASS",E97="PASS",F97="PASS",G97="PASS",H97="PASS",I97="PASS",J97="PASS",K97="PASS"),"Qualified","Disqualified")</f>
        <v/>
      </c>
    </row>
    <row r="98">
      <c r="A98" s="5">
        <f>Raw_Data!A98</f>
        <v/>
      </c>
      <c r="B98" s="6">
        <f>Raw_Data!B98</f>
        <v/>
      </c>
      <c r="C98" s="6">
        <f>Raw_Data!C98</f>
        <v/>
      </c>
      <c r="D98" s="6">
        <f>IF(Raw_Data!D98&gt;=3,"PASS","FAIL")</f>
        <v/>
      </c>
      <c r="E98" s="6">
        <f>IF(Raw_Data!E98&gt;=50,"PASS","FAIL")</f>
        <v/>
      </c>
      <c r="F98" s="6">
        <f>IF(Raw_Data!F98&gt;=1000000,"PASS","FAIL")</f>
        <v/>
      </c>
      <c r="G98" s="6">
        <f>IF(ISNUMBER(SEARCH("@",Raw_Data!G98)),"PASS","FAIL")</f>
        <v/>
      </c>
      <c r="H98" s="6">
        <f>IF(OR(Raw_Data!C98="North America",Raw_Data!C98="Europe",Raw_Data!C98="Asia Pacific"),"PASS","FAIL")</f>
        <v/>
      </c>
      <c r="I98" s="6">
        <f>IF(Raw_Data!H98&lt;=1500000,"PASS","FAIL")</f>
        <v/>
      </c>
      <c r="J98" s="6">
        <f>IF(Raw_Data!D98&gt;=5,"PASS","FAIL")</f>
        <v/>
      </c>
      <c r="K98" s="6">
        <f>IF(Raw_Data!F98&gt;=5000000,"PASS","FAIL")</f>
        <v/>
      </c>
      <c r="L98" s="6">
        <f>IF(AND(D98="PASS",E98="PASS",F98="PASS",G98="PASS",H98="PASS",I98="PASS",J98="PASS",K98="PASS"),"Qualified","Disqualified")</f>
        <v/>
      </c>
    </row>
    <row r="99">
      <c r="A99" s="8">
        <f>Raw_Data!A99</f>
        <v/>
      </c>
      <c r="B99" s="9">
        <f>Raw_Data!B99</f>
        <v/>
      </c>
      <c r="C99" s="9">
        <f>Raw_Data!C99</f>
        <v/>
      </c>
      <c r="D99" s="9">
        <f>IF(Raw_Data!D99&gt;=3,"PASS","FAIL")</f>
        <v/>
      </c>
      <c r="E99" s="9">
        <f>IF(Raw_Data!E99&gt;=50,"PASS","FAIL")</f>
        <v/>
      </c>
      <c r="F99" s="9">
        <f>IF(Raw_Data!F99&gt;=1000000,"PASS","FAIL")</f>
        <v/>
      </c>
      <c r="G99" s="9">
        <f>IF(ISNUMBER(SEARCH("@",Raw_Data!G99)),"PASS","FAIL")</f>
        <v/>
      </c>
      <c r="H99" s="9">
        <f>IF(OR(Raw_Data!C99="North America",Raw_Data!C99="Europe",Raw_Data!C99="Asia Pacific"),"PASS","FAIL")</f>
        <v/>
      </c>
      <c r="I99" s="9">
        <f>IF(Raw_Data!H99&lt;=1500000,"PASS","FAIL")</f>
        <v/>
      </c>
      <c r="J99" s="9">
        <f>IF(Raw_Data!D99&gt;=5,"PASS","FAIL")</f>
        <v/>
      </c>
      <c r="K99" s="9">
        <f>IF(Raw_Data!F99&gt;=5000000,"PASS","FAIL")</f>
        <v/>
      </c>
      <c r="L99" s="9">
        <f>IF(AND(D99="PASS",E99="PASS",F99="PASS",G99="PASS",H99="PASS",I99="PASS",J99="PASS",K99="PASS"),"Qualified","Disqualified")</f>
        <v/>
      </c>
    </row>
    <row r="100">
      <c r="A100" s="5">
        <f>Raw_Data!A100</f>
        <v/>
      </c>
      <c r="B100" s="6">
        <f>Raw_Data!B100</f>
        <v/>
      </c>
      <c r="C100" s="6">
        <f>Raw_Data!C100</f>
        <v/>
      </c>
      <c r="D100" s="6">
        <f>IF(Raw_Data!D100&gt;=3,"PASS","FAIL")</f>
        <v/>
      </c>
      <c r="E100" s="6">
        <f>IF(Raw_Data!E100&gt;=50,"PASS","FAIL")</f>
        <v/>
      </c>
      <c r="F100" s="6">
        <f>IF(Raw_Data!F100&gt;=1000000,"PASS","FAIL")</f>
        <v/>
      </c>
      <c r="G100" s="6">
        <f>IF(ISNUMBER(SEARCH("@",Raw_Data!G100)),"PASS","FAIL")</f>
        <v/>
      </c>
      <c r="H100" s="6">
        <f>IF(OR(Raw_Data!C100="North America",Raw_Data!C100="Europe",Raw_Data!C100="Asia Pacific"),"PASS","FAIL")</f>
        <v/>
      </c>
      <c r="I100" s="6">
        <f>IF(Raw_Data!H100&lt;=1500000,"PASS","FAIL")</f>
        <v/>
      </c>
      <c r="J100" s="6">
        <f>IF(Raw_Data!D100&gt;=5,"PASS","FAIL")</f>
        <v/>
      </c>
      <c r="K100" s="6">
        <f>IF(Raw_Data!F100&gt;=5000000,"PASS","FAIL")</f>
        <v/>
      </c>
      <c r="L100" s="6">
        <f>IF(AND(D100="PASS",E100="PASS",F100="PASS",G100="PASS",H100="PASS",I100="PASS",J100="PASS",K100="PASS"),"Qualified","Disqualified")</f>
        <v/>
      </c>
    </row>
    <row r="101">
      <c r="A101" s="8">
        <f>Raw_Data!A101</f>
        <v/>
      </c>
      <c r="B101" s="9">
        <f>Raw_Data!B101</f>
        <v/>
      </c>
      <c r="C101" s="9">
        <f>Raw_Data!C101</f>
        <v/>
      </c>
      <c r="D101" s="9">
        <f>IF(Raw_Data!D101&gt;=3,"PASS","FAIL")</f>
        <v/>
      </c>
      <c r="E101" s="9">
        <f>IF(Raw_Data!E101&gt;=50,"PASS","FAIL")</f>
        <v/>
      </c>
      <c r="F101" s="9">
        <f>IF(Raw_Data!F101&gt;=1000000,"PASS","FAIL")</f>
        <v/>
      </c>
      <c r="G101" s="9">
        <f>IF(ISNUMBER(SEARCH("@",Raw_Data!G101)),"PASS","FAIL")</f>
        <v/>
      </c>
      <c r="H101" s="9">
        <f>IF(OR(Raw_Data!C101="North America",Raw_Data!C101="Europe",Raw_Data!C101="Asia Pacific"),"PASS","FAIL")</f>
        <v/>
      </c>
      <c r="I101" s="9">
        <f>IF(Raw_Data!H101&lt;=1500000,"PASS","FAIL")</f>
        <v/>
      </c>
      <c r="J101" s="9">
        <f>IF(Raw_Data!D101&gt;=5,"PASS","FAIL")</f>
        <v/>
      </c>
      <c r="K101" s="9">
        <f>IF(Raw_Data!F101&gt;=5000000,"PASS","FAIL")</f>
        <v/>
      </c>
      <c r="L101" s="9">
        <f>IF(AND(D101="PASS",E101="PASS",F101="PASS",G101="PASS",H101="PASS",I101="PASS",J101="PASS",K101="PASS"),"Qualified","Disqualified")</f>
        <v/>
      </c>
    </row>
    <row r="102">
      <c r="A102" s="5">
        <f>Raw_Data!A102</f>
        <v/>
      </c>
      <c r="B102" s="6">
        <f>Raw_Data!B102</f>
        <v/>
      </c>
      <c r="C102" s="6">
        <f>Raw_Data!C102</f>
        <v/>
      </c>
      <c r="D102" s="6">
        <f>IF(Raw_Data!D102&gt;=3,"PASS","FAIL")</f>
        <v/>
      </c>
      <c r="E102" s="6">
        <f>IF(Raw_Data!E102&gt;=50,"PASS","FAIL")</f>
        <v/>
      </c>
      <c r="F102" s="6">
        <f>IF(Raw_Data!F102&gt;=1000000,"PASS","FAIL")</f>
        <v/>
      </c>
      <c r="G102" s="6">
        <f>IF(ISNUMBER(SEARCH("@",Raw_Data!G102)),"PASS","FAIL")</f>
        <v/>
      </c>
      <c r="H102" s="6">
        <f>IF(OR(Raw_Data!C102="North America",Raw_Data!C102="Europe",Raw_Data!C102="Asia Pacific"),"PASS","FAIL")</f>
        <v/>
      </c>
      <c r="I102" s="6">
        <f>IF(Raw_Data!H102&lt;=1500000,"PASS","FAIL")</f>
        <v/>
      </c>
      <c r="J102" s="6">
        <f>IF(Raw_Data!D102&gt;=5,"PASS","FAIL")</f>
        <v/>
      </c>
      <c r="K102" s="6">
        <f>IF(Raw_Data!F102&gt;=5000000,"PASS","FAIL")</f>
        <v/>
      </c>
      <c r="L102" s="6">
        <f>IF(AND(D102="PASS",E102="PASS",F102="PASS",G102="PASS",H102="PASS",I102="PASS",J102="PASS",K102="PASS"),"Qualified","Disqualified")</f>
        <v/>
      </c>
    </row>
    <row r="103">
      <c r="A103" s="8">
        <f>Raw_Data!A103</f>
        <v/>
      </c>
      <c r="B103" s="9">
        <f>Raw_Data!B103</f>
        <v/>
      </c>
      <c r="C103" s="9">
        <f>Raw_Data!C103</f>
        <v/>
      </c>
      <c r="D103" s="9">
        <f>IF(Raw_Data!D103&gt;=3,"PASS","FAIL")</f>
        <v/>
      </c>
      <c r="E103" s="9">
        <f>IF(Raw_Data!E103&gt;=50,"PASS","FAIL")</f>
        <v/>
      </c>
      <c r="F103" s="9">
        <f>IF(Raw_Data!F103&gt;=1000000,"PASS","FAIL")</f>
        <v/>
      </c>
      <c r="G103" s="9">
        <f>IF(ISNUMBER(SEARCH("@",Raw_Data!G103)),"PASS","FAIL")</f>
        <v/>
      </c>
      <c r="H103" s="9">
        <f>IF(OR(Raw_Data!C103="North America",Raw_Data!C103="Europe",Raw_Data!C103="Asia Pacific"),"PASS","FAIL")</f>
        <v/>
      </c>
      <c r="I103" s="9">
        <f>IF(Raw_Data!H103&lt;=1500000,"PASS","FAIL")</f>
        <v/>
      </c>
      <c r="J103" s="9">
        <f>IF(Raw_Data!D103&gt;=5,"PASS","FAIL")</f>
        <v/>
      </c>
      <c r="K103" s="9">
        <f>IF(Raw_Data!F103&gt;=5000000,"PASS","FAIL")</f>
        <v/>
      </c>
      <c r="L103" s="9">
        <f>IF(AND(D103="PASS",E103="PASS",F103="PASS",G103="PASS",H103="PASS",I103="PASS",J103="PASS",K103="PASS"),"Qualified","Disqualified")</f>
        <v/>
      </c>
    </row>
    <row r="104">
      <c r="A104" s="5">
        <f>Raw_Data!A104</f>
        <v/>
      </c>
      <c r="B104" s="6">
        <f>Raw_Data!B104</f>
        <v/>
      </c>
      <c r="C104" s="6">
        <f>Raw_Data!C104</f>
        <v/>
      </c>
      <c r="D104" s="6">
        <f>IF(Raw_Data!D104&gt;=3,"PASS","FAIL")</f>
        <v/>
      </c>
      <c r="E104" s="6">
        <f>IF(Raw_Data!E104&gt;=50,"PASS","FAIL")</f>
        <v/>
      </c>
      <c r="F104" s="6">
        <f>IF(Raw_Data!F104&gt;=1000000,"PASS","FAIL")</f>
        <v/>
      </c>
      <c r="G104" s="6">
        <f>IF(ISNUMBER(SEARCH("@",Raw_Data!G104)),"PASS","FAIL")</f>
        <v/>
      </c>
      <c r="H104" s="6">
        <f>IF(OR(Raw_Data!C104="North America",Raw_Data!C104="Europe",Raw_Data!C104="Asia Pacific"),"PASS","FAIL")</f>
        <v/>
      </c>
      <c r="I104" s="6">
        <f>IF(Raw_Data!H104&lt;=1500000,"PASS","FAIL")</f>
        <v/>
      </c>
      <c r="J104" s="6">
        <f>IF(Raw_Data!D104&gt;=5,"PASS","FAIL")</f>
        <v/>
      </c>
      <c r="K104" s="6">
        <f>IF(Raw_Data!F104&gt;=5000000,"PASS","FAIL")</f>
        <v/>
      </c>
      <c r="L104" s="6">
        <f>IF(AND(D104="PASS",E104="PASS",F104="PASS",G104="PASS",H104="PASS",I104="PASS",J104="PASS",K104="PASS"),"Qualified","Disqualified")</f>
        <v/>
      </c>
    </row>
    <row r="105">
      <c r="A105" s="8">
        <f>Raw_Data!A105</f>
        <v/>
      </c>
      <c r="B105" s="9">
        <f>Raw_Data!B105</f>
        <v/>
      </c>
      <c r="C105" s="9">
        <f>Raw_Data!C105</f>
        <v/>
      </c>
      <c r="D105" s="9">
        <f>IF(Raw_Data!D105&gt;=3,"PASS","FAIL")</f>
        <v/>
      </c>
      <c r="E105" s="9">
        <f>IF(Raw_Data!E105&gt;=50,"PASS","FAIL")</f>
        <v/>
      </c>
      <c r="F105" s="9">
        <f>IF(Raw_Data!F105&gt;=1000000,"PASS","FAIL")</f>
        <v/>
      </c>
      <c r="G105" s="9">
        <f>IF(ISNUMBER(SEARCH("@",Raw_Data!G105)),"PASS","FAIL")</f>
        <v/>
      </c>
      <c r="H105" s="9">
        <f>IF(OR(Raw_Data!C105="North America",Raw_Data!C105="Europe",Raw_Data!C105="Asia Pacific"),"PASS","FAIL")</f>
        <v/>
      </c>
      <c r="I105" s="9">
        <f>IF(Raw_Data!H105&lt;=1500000,"PASS","FAIL")</f>
        <v/>
      </c>
      <c r="J105" s="9">
        <f>IF(Raw_Data!D105&gt;=5,"PASS","FAIL")</f>
        <v/>
      </c>
      <c r="K105" s="9">
        <f>IF(Raw_Data!F105&gt;=5000000,"PASS","FAIL")</f>
        <v/>
      </c>
      <c r="L105" s="9">
        <f>IF(AND(D105="PASS",E105="PASS",F105="PASS",G105="PASS",H105="PASS",I105="PASS",J105="PASS",K105="PASS"),"Qualified","Disqualified")</f>
        <v/>
      </c>
    </row>
    <row r="106">
      <c r="A106" s="5">
        <f>Raw_Data!A106</f>
        <v/>
      </c>
      <c r="B106" s="6">
        <f>Raw_Data!B106</f>
        <v/>
      </c>
      <c r="C106" s="6">
        <f>Raw_Data!C106</f>
        <v/>
      </c>
      <c r="D106" s="6">
        <f>IF(Raw_Data!D106&gt;=3,"PASS","FAIL")</f>
        <v/>
      </c>
      <c r="E106" s="6">
        <f>IF(Raw_Data!E106&gt;=50,"PASS","FAIL")</f>
        <v/>
      </c>
      <c r="F106" s="6">
        <f>IF(Raw_Data!F106&gt;=1000000,"PASS","FAIL")</f>
        <v/>
      </c>
      <c r="G106" s="6">
        <f>IF(ISNUMBER(SEARCH("@",Raw_Data!G106)),"PASS","FAIL")</f>
        <v/>
      </c>
      <c r="H106" s="6">
        <f>IF(OR(Raw_Data!C106="North America",Raw_Data!C106="Europe",Raw_Data!C106="Asia Pacific"),"PASS","FAIL")</f>
        <v/>
      </c>
      <c r="I106" s="6">
        <f>IF(Raw_Data!H106&lt;=1500000,"PASS","FAIL")</f>
        <v/>
      </c>
      <c r="J106" s="6">
        <f>IF(Raw_Data!D106&gt;=5,"PASS","FAIL")</f>
        <v/>
      </c>
      <c r="K106" s="6">
        <f>IF(Raw_Data!F106&gt;=5000000,"PASS","FAIL")</f>
        <v/>
      </c>
      <c r="L106" s="6">
        <f>IF(AND(D106="PASS",E106="PASS",F106="PASS",G106="PASS",H106="PASS",I106="PASS",J106="PASS",K106="PASS"),"Qualified","Disqualified")</f>
        <v/>
      </c>
    </row>
    <row r="107">
      <c r="A107" s="8">
        <f>Raw_Data!A107</f>
        <v/>
      </c>
      <c r="B107" s="9">
        <f>Raw_Data!B107</f>
        <v/>
      </c>
      <c r="C107" s="9">
        <f>Raw_Data!C107</f>
        <v/>
      </c>
      <c r="D107" s="9">
        <f>IF(Raw_Data!D107&gt;=3,"PASS","FAIL")</f>
        <v/>
      </c>
      <c r="E107" s="9">
        <f>IF(Raw_Data!E107&gt;=50,"PASS","FAIL")</f>
        <v/>
      </c>
      <c r="F107" s="9">
        <f>IF(Raw_Data!F107&gt;=1000000,"PASS","FAIL")</f>
        <v/>
      </c>
      <c r="G107" s="9">
        <f>IF(ISNUMBER(SEARCH("@",Raw_Data!G107)),"PASS","FAIL")</f>
        <v/>
      </c>
      <c r="H107" s="9">
        <f>IF(OR(Raw_Data!C107="North America",Raw_Data!C107="Europe",Raw_Data!C107="Asia Pacific"),"PASS","FAIL")</f>
        <v/>
      </c>
      <c r="I107" s="9">
        <f>IF(Raw_Data!H107&lt;=1500000,"PASS","FAIL")</f>
        <v/>
      </c>
      <c r="J107" s="9">
        <f>IF(Raw_Data!D107&gt;=5,"PASS","FAIL")</f>
        <v/>
      </c>
      <c r="K107" s="9">
        <f>IF(Raw_Data!F107&gt;=5000000,"PASS","FAIL")</f>
        <v/>
      </c>
      <c r="L107" s="9">
        <f>IF(AND(D107="PASS",E107="PASS",F107="PASS",G107="PASS",H107="PASS",I107="PASS",J107="PASS",K107="PASS"),"Qualified","Disqualified")</f>
        <v/>
      </c>
    </row>
    <row r="108">
      <c r="A108" s="5">
        <f>Raw_Data!A108</f>
        <v/>
      </c>
      <c r="B108" s="6">
        <f>Raw_Data!B108</f>
        <v/>
      </c>
      <c r="C108" s="6">
        <f>Raw_Data!C108</f>
        <v/>
      </c>
      <c r="D108" s="6">
        <f>IF(Raw_Data!D108&gt;=3,"PASS","FAIL")</f>
        <v/>
      </c>
      <c r="E108" s="6">
        <f>IF(Raw_Data!E108&gt;=50,"PASS","FAIL")</f>
        <v/>
      </c>
      <c r="F108" s="6">
        <f>IF(Raw_Data!F108&gt;=1000000,"PASS","FAIL")</f>
        <v/>
      </c>
      <c r="G108" s="6">
        <f>IF(ISNUMBER(SEARCH("@",Raw_Data!G108)),"PASS","FAIL")</f>
        <v/>
      </c>
      <c r="H108" s="6">
        <f>IF(OR(Raw_Data!C108="North America",Raw_Data!C108="Europe",Raw_Data!C108="Asia Pacific"),"PASS","FAIL")</f>
        <v/>
      </c>
      <c r="I108" s="6">
        <f>IF(Raw_Data!H108&lt;=1500000,"PASS","FAIL")</f>
        <v/>
      </c>
      <c r="J108" s="6">
        <f>IF(Raw_Data!D108&gt;=5,"PASS","FAIL")</f>
        <v/>
      </c>
      <c r="K108" s="6">
        <f>IF(Raw_Data!F108&gt;=5000000,"PASS","FAIL")</f>
        <v/>
      </c>
      <c r="L108" s="6">
        <f>IF(AND(D108="PASS",E108="PASS",F108="PASS",G108="PASS",H108="PASS",I108="PASS",J108="PASS",K108="PASS"),"Qualified","Disqualified")</f>
        <v/>
      </c>
    </row>
    <row r="109">
      <c r="A109" s="8">
        <f>Raw_Data!A109</f>
        <v/>
      </c>
      <c r="B109" s="9">
        <f>Raw_Data!B109</f>
        <v/>
      </c>
      <c r="C109" s="9">
        <f>Raw_Data!C109</f>
        <v/>
      </c>
      <c r="D109" s="9">
        <f>IF(Raw_Data!D109&gt;=3,"PASS","FAIL")</f>
        <v/>
      </c>
      <c r="E109" s="9">
        <f>IF(Raw_Data!E109&gt;=50,"PASS","FAIL")</f>
        <v/>
      </c>
      <c r="F109" s="9">
        <f>IF(Raw_Data!F109&gt;=1000000,"PASS","FAIL")</f>
        <v/>
      </c>
      <c r="G109" s="9">
        <f>IF(ISNUMBER(SEARCH("@",Raw_Data!G109)),"PASS","FAIL")</f>
        <v/>
      </c>
      <c r="H109" s="9">
        <f>IF(OR(Raw_Data!C109="North America",Raw_Data!C109="Europe",Raw_Data!C109="Asia Pacific"),"PASS","FAIL")</f>
        <v/>
      </c>
      <c r="I109" s="9">
        <f>IF(Raw_Data!H109&lt;=1500000,"PASS","FAIL")</f>
        <v/>
      </c>
      <c r="J109" s="9">
        <f>IF(Raw_Data!D109&gt;=5,"PASS","FAIL")</f>
        <v/>
      </c>
      <c r="K109" s="9">
        <f>IF(Raw_Data!F109&gt;=5000000,"PASS","FAIL")</f>
        <v/>
      </c>
      <c r="L109" s="9">
        <f>IF(AND(D109="PASS",E109="PASS",F109="PASS",G109="PASS",H109="PASS",I109="PASS",J109="PASS",K109="PASS"),"Qualified","Disqualified")</f>
        <v/>
      </c>
    </row>
    <row r="110">
      <c r="A110" s="5">
        <f>Raw_Data!A110</f>
        <v/>
      </c>
      <c r="B110" s="6">
        <f>Raw_Data!B110</f>
        <v/>
      </c>
      <c r="C110" s="6">
        <f>Raw_Data!C110</f>
        <v/>
      </c>
      <c r="D110" s="6">
        <f>IF(Raw_Data!D110&gt;=3,"PASS","FAIL")</f>
        <v/>
      </c>
      <c r="E110" s="6">
        <f>IF(Raw_Data!E110&gt;=50,"PASS","FAIL")</f>
        <v/>
      </c>
      <c r="F110" s="6">
        <f>IF(Raw_Data!F110&gt;=1000000,"PASS","FAIL")</f>
        <v/>
      </c>
      <c r="G110" s="6">
        <f>IF(ISNUMBER(SEARCH("@",Raw_Data!G110)),"PASS","FAIL")</f>
        <v/>
      </c>
      <c r="H110" s="6">
        <f>IF(OR(Raw_Data!C110="North America",Raw_Data!C110="Europe",Raw_Data!C110="Asia Pacific"),"PASS","FAIL")</f>
        <v/>
      </c>
      <c r="I110" s="6">
        <f>IF(Raw_Data!H110&lt;=1500000,"PASS","FAIL")</f>
        <v/>
      </c>
      <c r="J110" s="6">
        <f>IF(Raw_Data!D110&gt;=5,"PASS","FAIL")</f>
        <v/>
      </c>
      <c r="K110" s="6">
        <f>IF(Raw_Data!F110&gt;=5000000,"PASS","FAIL")</f>
        <v/>
      </c>
      <c r="L110" s="6">
        <f>IF(AND(D110="PASS",E110="PASS",F110="PASS",G110="PASS",H110="PASS",I110="PASS",J110="PASS",K110="PASS"),"Qualified","Disqualified")</f>
        <v/>
      </c>
    </row>
    <row r="111">
      <c r="A111" s="8">
        <f>Raw_Data!A111</f>
        <v/>
      </c>
      <c r="B111" s="9">
        <f>Raw_Data!B111</f>
        <v/>
      </c>
      <c r="C111" s="9">
        <f>Raw_Data!C111</f>
        <v/>
      </c>
      <c r="D111" s="9">
        <f>IF(Raw_Data!D111&gt;=3,"PASS","FAIL")</f>
        <v/>
      </c>
      <c r="E111" s="9">
        <f>IF(Raw_Data!E111&gt;=50,"PASS","FAIL")</f>
        <v/>
      </c>
      <c r="F111" s="9">
        <f>IF(Raw_Data!F111&gt;=1000000,"PASS","FAIL")</f>
        <v/>
      </c>
      <c r="G111" s="9">
        <f>IF(ISNUMBER(SEARCH("@",Raw_Data!G111)),"PASS","FAIL")</f>
        <v/>
      </c>
      <c r="H111" s="9">
        <f>IF(OR(Raw_Data!C111="North America",Raw_Data!C111="Europe",Raw_Data!C111="Asia Pacific"),"PASS","FAIL")</f>
        <v/>
      </c>
      <c r="I111" s="9">
        <f>IF(Raw_Data!H111&lt;=1500000,"PASS","FAIL")</f>
        <v/>
      </c>
      <c r="J111" s="9">
        <f>IF(Raw_Data!D111&gt;=5,"PASS","FAIL")</f>
        <v/>
      </c>
      <c r="K111" s="9">
        <f>IF(Raw_Data!F111&gt;=5000000,"PASS","FAIL")</f>
        <v/>
      </c>
      <c r="L111" s="9">
        <f>IF(AND(D111="PASS",E111="PASS",F111="PASS",G111="PASS",H111="PASS",I111="PASS",J111="PASS",K111="PASS"),"Qualified","Disqualified")</f>
        <v/>
      </c>
    </row>
    <row r="112">
      <c r="A112" s="5">
        <f>Raw_Data!A112</f>
        <v/>
      </c>
      <c r="B112" s="6">
        <f>Raw_Data!B112</f>
        <v/>
      </c>
      <c r="C112" s="6">
        <f>Raw_Data!C112</f>
        <v/>
      </c>
      <c r="D112" s="6">
        <f>IF(Raw_Data!D112&gt;=3,"PASS","FAIL")</f>
        <v/>
      </c>
      <c r="E112" s="6">
        <f>IF(Raw_Data!E112&gt;=50,"PASS","FAIL")</f>
        <v/>
      </c>
      <c r="F112" s="6">
        <f>IF(Raw_Data!F112&gt;=1000000,"PASS","FAIL")</f>
        <v/>
      </c>
      <c r="G112" s="6">
        <f>IF(ISNUMBER(SEARCH("@",Raw_Data!G112)),"PASS","FAIL")</f>
        <v/>
      </c>
      <c r="H112" s="6">
        <f>IF(OR(Raw_Data!C112="North America",Raw_Data!C112="Europe",Raw_Data!C112="Asia Pacific"),"PASS","FAIL")</f>
        <v/>
      </c>
      <c r="I112" s="6">
        <f>IF(Raw_Data!H112&lt;=1500000,"PASS","FAIL")</f>
        <v/>
      </c>
      <c r="J112" s="6">
        <f>IF(Raw_Data!D112&gt;=5,"PASS","FAIL")</f>
        <v/>
      </c>
      <c r="K112" s="6">
        <f>IF(Raw_Data!F112&gt;=5000000,"PASS","FAIL")</f>
        <v/>
      </c>
      <c r="L112" s="6">
        <f>IF(AND(D112="PASS",E112="PASS",F112="PASS",G112="PASS",H112="PASS",I112="PASS",J112="PASS",K112="PASS"),"Qualified","Disqualified")</f>
        <v/>
      </c>
    </row>
    <row r="113">
      <c r="A113" s="8">
        <f>Raw_Data!A113</f>
        <v/>
      </c>
      <c r="B113" s="9">
        <f>Raw_Data!B113</f>
        <v/>
      </c>
      <c r="C113" s="9">
        <f>Raw_Data!C113</f>
        <v/>
      </c>
      <c r="D113" s="9">
        <f>IF(Raw_Data!D113&gt;=3,"PASS","FAIL")</f>
        <v/>
      </c>
      <c r="E113" s="9">
        <f>IF(Raw_Data!E113&gt;=50,"PASS","FAIL")</f>
        <v/>
      </c>
      <c r="F113" s="9">
        <f>IF(Raw_Data!F113&gt;=1000000,"PASS","FAIL")</f>
        <v/>
      </c>
      <c r="G113" s="9">
        <f>IF(ISNUMBER(SEARCH("@",Raw_Data!G113)),"PASS","FAIL")</f>
        <v/>
      </c>
      <c r="H113" s="9">
        <f>IF(OR(Raw_Data!C113="North America",Raw_Data!C113="Europe",Raw_Data!C113="Asia Pacific"),"PASS","FAIL")</f>
        <v/>
      </c>
      <c r="I113" s="9">
        <f>IF(Raw_Data!H113&lt;=1500000,"PASS","FAIL")</f>
        <v/>
      </c>
      <c r="J113" s="9">
        <f>IF(Raw_Data!D113&gt;=5,"PASS","FAIL")</f>
        <v/>
      </c>
      <c r="K113" s="9">
        <f>IF(Raw_Data!F113&gt;=5000000,"PASS","FAIL")</f>
        <v/>
      </c>
      <c r="L113" s="9">
        <f>IF(AND(D113="PASS",E113="PASS",F113="PASS",G113="PASS",H113="PASS",I113="PASS",J113="PASS",K113="PASS"),"Qualified","Disqualified")</f>
        <v/>
      </c>
    </row>
    <row r="114">
      <c r="A114" s="5">
        <f>Raw_Data!A114</f>
        <v/>
      </c>
      <c r="B114" s="6">
        <f>Raw_Data!B114</f>
        <v/>
      </c>
      <c r="C114" s="6">
        <f>Raw_Data!C114</f>
        <v/>
      </c>
      <c r="D114" s="6">
        <f>IF(Raw_Data!D114&gt;=3,"PASS","FAIL")</f>
        <v/>
      </c>
      <c r="E114" s="6">
        <f>IF(Raw_Data!E114&gt;=50,"PASS","FAIL")</f>
        <v/>
      </c>
      <c r="F114" s="6">
        <f>IF(Raw_Data!F114&gt;=1000000,"PASS","FAIL")</f>
        <v/>
      </c>
      <c r="G114" s="6">
        <f>IF(ISNUMBER(SEARCH("@",Raw_Data!G114)),"PASS","FAIL")</f>
        <v/>
      </c>
      <c r="H114" s="6">
        <f>IF(OR(Raw_Data!C114="North America",Raw_Data!C114="Europe",Raw_Data!C114="Asia Pacific"),"PASS","FAIL")</f>
        <v/>
      </c>
      <c r="I114" s="6">
        <f>IF(Raw_Data!H114&lt;=1500000,"PASS","FAIL")</f>
        <v/>
      </c>
      <c r="J114" s="6">
        <f>IF(Raw_Data!D114&gt;=5,"PASS","FAIL")</f>
        <v/>
      </c>
      <c r="K114" s="6">
        <f>IF(Raw_Data!F114&gt;=5000000,"PASS","FAIL")</f>
        <v/>
      </c>
      <c r="L114" s="6">
        <f>IF(AND(D114="PASS",E114="PASS",F114="PASS",G114="PASS",H114="PASS",I114="PASS",J114="PASS",K114="PASS"),"Qualified","Disqualified")</f>
        <v/>
      </c>
    </row>
    <row r="115">
      <c r="A115" s="8">
        <f>Raw_Data!A115</f>
        <v/>
      </c>
      <c r="B115" s="9">
        <f>Raw_Data!B115</f>
        <v/>
      </c>
      <c r="C115" s="9">
        <f>Raw_Data!C115</f>
        <v/>
      </c>
      <c r="D115" s="9">
        <f>IF(Raw_Data!D115&gt;=3,"PASS","FAIL")</f>
        <v/>
      </c>
      <c r="E115" s="9">
        <f>IF(Raw_Data!E115&gt;=50,"PASS","FAIL")</f>
        <v/>
      </c>
      <c r="F115" s="9">
        <f>IF(Raw_Data!F115&gt;=1000000,"PASS","FAIL")</f>
        <v/>
      </c>
      <c r="G115" s="9">
        <f>IF(ISNUMBER(SEARCH("@",Raw_Data!G115)),"PASS","FAIL")</f>
        <v/>
      </c>
      <c r="H115" s="9">
        <f>IF(OR(Raw_Data!C115="North America",Raw_Data!C115="Europe",Raw_Data!C115="Asia Pacific"),"PASS","FAIL")</f>
        <v/>
      </c>
      <c r="I115" s="9">
        <f>IF(Raw_Data!H115&lt;=1500000,"PASS","FAIL")</f>
        <v/>
      </c>
      <c r="J115" s="9">
        <f>IF(Raw_Data!D115&gt;=5,"PASS","FAIL")</f>
        <v/>
      </c>
      <c r="K115" s="9">
        <f>IF(Raw_Data!F115&gt;=5000000,"PASS","FAIL")</f>
        <v/>
      </c>
      <c r="L115" s="9">
        <f>IF(AND(D115="PASS",E115="PASS",F115="PASS",G115="PASS",H115="PASS",I115="PASS",J115="PASS",K115="PASS"),"Qualified","Disqualified")</f>
        <v/>
      </c>
    </row>
    <row r="116">
      <c r="A116" s="5">
        <f>Raw_Data!A116</f>
        <v/>
      </c>
      <c r="B116" s="6">
        <f>Raw_Data!B116</f>
        <v/>
      </c>
      <c r="C116" s="6">
        <f>Raw_Data!C116</f>
        <v/>
      </c>
      <c r="D116" s="6">
        <f>IF(Raw_Data!D116&gt;=3,"PASS","FAIL")</f>
        <v/>
      </c>
      <c r="E116" s="6">
        <f>IF(Raw_Data!E116&gt;=50,"PASS","FAIL")</f>
        <v/>
      </c>
      <c r="F116" s="6">
        <f>IF(Raw_Data!F116&gt;=1000000,"PASS","FAIL")</f>
        <v/>
      </c>
      <c r="G116" s="6">
        <f>IF(ISNUMBER(SEARCH("@",Raw_Data!G116)),"PASS","FAIL")</f>
        <v/>
      </c>
      <c r="H116" s="6">
        <f>IF(OR(Raw_Data!C116="North America",Raw_Data!C116="Europe",Raw_Data!C116="Asia Pacific"),"PASS","FAIL")</f>
        <v/>
      </c>
      <c r="I116" s="6">
        <f>IF(Raw_Data!H116&lt;=1500000,"PASS","FAIL")</f>
        <v/>
      </c>
      <c r="J116" s="6">
        <f>IF(Raw_Data!D116&gt;=5,"PASS","FAIL")</f>
        <v/>
      </c>
      <c r="K116" s="6">
        <f>IF(Raw_Data!F116&gt;=5000000,"PASS","FAIL")</f>
        <v/>
      </c>
      <c r="L116" s="6">
        <f>IF(AND(D116="PASS",E116="PASS",F116="PASS",G116="PASS",H116="PASS",I116="PASS",J116="PASS",K116="PASS"),"Qualified","Disqualified")</f>
        <v/>
      </c>
    </row>
    <row r="117">
      <c r="A117" s="8">
        <f>Raw_Data!A117</f>
        <v/>
      </c>
      <c r="B117" s="9">
        <f>Raw_Data!B117</f>
        <v/>
      </c>
      <c r="C117" s="9">
        <f>Raw_Data!C117</f>
        <v/>
      </c>
      <c r="D117" s="9">
        <f>IF(Raw_Data!D117&gt;=3,"PASS","FAIL")</f>
        <v/>
      </c>
      <c r="E117" s="9">
        <f>IF(Raw_Data!E117&gt;=50,"PASS","FAIL")</f>
        <v/>
      </c>
      <c r="F117" s="9">
        <f>IF(Raw_Data!F117&gt;=1000000,"PASS","FAIL")</f>
        <v/>
      </c>
      <c r="G117" s="9">
        <f>IF(ISNUMBER(SEARCH("@",Raw_Data!G117)),"PASS","FAIL")</f>
        <v/>
      </c>
      <c r="H117" s="9">
        <f>IF(OR(Raw_Data!C117="North America",Raw_Data!C117="Europe",Raw_Data!C117="Asia Pacific"),"PASS","FAIL")</f>
        <v/>
      </c>
      <c r="I117" s="9">
        <f>IF(Raw_Data!H117&lt;=1500000,"PASS","FAIL")</f>
        <v/>
      </c>
      <c r="J117" s="9">
        <f>IF(Raw_Data!D117&gt;=5,"PASS","FAIL")</f>
        <v/>
      </c>
      <c r="K117" s="9">
        <f>IF(Raw_Data!F117&gt;=5000000,"PASS","FAIL")</f>
        <v/>
      </c>
      <c r="L117" s="9">
        <f>IF(AND(D117="PASS",E117="PASS",F117="PASS",G117="PASS",H117="PASS",I117="PASS",J117="PASS",K117="PASS"),"Qualified","Disqualified")</f>
        <v/>
      </c>
    </row>
    <row r="118">
      <c r="A118" s="5">
        <f>Raw_Data!A118</f>
        <v/>
      </c>
      <c r="B118" s="6">
        <f>Raw_Data!B118</f>
        <v/>
      </c>
      <c r="C118" s="6">
        <f>Raw_Data!C118</f>
        <v/>
      </c>
      <c r="D118" s="6">
        <f>IF(Raw_Data!D118&gt;=3,"PASS","FAIL")</f>
        <v/>
      </c>
      <c r="E118" s="6">
        <f>IF(Raw_Data!E118&gt;=50,"PASS","FAIL")</f>
        <v/>
      </c>
      <c r="F118" s="6">
        <f>IF(Raw_Data!F118&gt;=1000000,"PASS","FAIL")</f>
        <v/>
      </c>
      <c r="G118" s="6">
        <f>IF(ISNUMBER(SEARCH("@",Raw_Data!G118)),"PASS","FAIL")</f>
        <v/>
      </c>
      <c r="H118" s="6">
        <f>IF(OR(Raw_Data!C118="North America",Raw_Data!C118="Europe",Raw_Data!C118="Asia Pacific"),"PASS","FAIL")</f>
        <v/>
      </c>
      <c r="I118" s="6">
        <f>IF(Raw_Data!H118&lt;=1500000,"PASS","FAIL")</f>
        <v/>
      </c>
      <c r="J118" s="6">
        <f>IF(Raw_Data!D118&gt;=5,"PASS","FAIL")</f>
        <v/>
      </c>
      <c r="K118" s="6">
        <f>IF(Raw_Data!F118&gt;=5000000,"PASS","FAIL")</f>
        <v/>
      </c>
      <c r="L118" s="6">
        <f>IF(AND(D118="PASS",E118="PASS",F118="PASS",G118="PASS",H118="PASS",I118="PASS",J118="PASS",K118="PASS"),"Qualified","Disqualified")</f>
        <v/>
      </c>
    </row>
    <row r="119">
      <c r="A119" s="8">
        <f>Raw_Data!A119</f>
        <v/>
      </c>
      <c r="B119" s="9">
        <f>Raw_Data!B119</f>
        <v/>
      </c>
      <c r="C119" s="9">
        <f>Raw_Data!C119</f>
        <v/>
      </c>
      <c r="D119" s="9">
        <f>IF(Raw_Data!D119&gt;=3,"PASS","FAIL")</f>
        <v/>
      </c>
      <c r="E119" s="9">
        <f>IF(Raw_Data!E119&gt;=50,"PASS","FAIL")</f>
        <v/>
      </c>
      <c r="F119" s="9">
        <f>IF(Raw_Data!F119&gt;=1000000,"PASS","FAIL")</f>
        <v/>
      </c>
      <c r="G119" s="9">
        <f>IF(ISNUMBER(SEARCH("@",Raw_Data!G119)),"PASS","FAIL")</f>
        <v/>
      </c>
      <c r="H119" s="9">
        <f>IF(OR(Raw_Data!C119="North America",Raw_Data!C119="Europe",Raw_Data!C119="Asia Pacific"),"PASS","FAIL")</f>
        <v/>
      </c>
      <c r="I119" s="9">
        <f>IF(Raw_Data!H119&lt;=1500000,"PASS","FAIL")</f>
        <v/>
      </c>
      <c r="J119" s="9">
        <f>IF(Raw_Data!D119&gt;=5,"PASS","FAIL")</f>
        <v/>
      </c>
      <c r="K119" s="9">
        <f>IF(Raw_Data!F119&gt;=5000000,"PASS","FAIL")</f>
        <v/>
      </c>
      <c r="L119" s="9">
        <f>IF(AND(D119="PASS",E119="PASS",F119="PASS",G119="PASS",H119="PASS",I119="PASS",J119="PASS",K119="PASS"),"Qualified","Disqualified")</f>
        <v/>
      </c>
    </row>
    <row r="120">
      <c r="A120" s="5">
        <f>Raw_Data!A120</f>
        <v/>
      </c>
      <c r="B120" s="6">
        <f>Raw_Data!B120</f>
        <v/>
      </c>
      <c r="C120" s="6">
        <f>Raw_Data!C120</f>
        <v/>
      </c>
      <c r="D120" s="6">
        <f>IF(Raw_Data!D120&gt;=3,"PASS","FAIL")</f>
        <v/>
      </c>
      <c r="E120" s="6">
        <f>IF(Raw_Data!E120&gt;=50,"PASS","FAIL")</f>
        <v/>
      </c>
      <c r="F120" s="6">
        <f>IF(Raw_Data!F120&gt;=1000000,"PASS","FAIL")</f>
        <v/>
      </c>
      <c r="G120" s="6">
        <f>IF(ISNUMBER(SEARCH("@",Raw_Data!G120)),"PASS","FAIL")</f>
        <v/>
      </c>
      <c r="H120" s="6">
        <f>IF(OR(Raw_Data!C120="North America",Raw_Data!C120="Europe",Raw_Data!C120="Asia Pacific"),"PASS","FAIL")</f>
        <v/>
      </c>
      <c r="I120" s="6">
        <f>IF(Raw_Data!H120&lt;=1500000,"PASS","FAIL")</f>
        <v/>
      </c>
      <c r="J120" s="6">
        <f>IF(Raw_Data!D120&gt;=5,"PASS","FAIL")</f>
        <v/>
      </c>
      <c r="K120" s="6">
        <f>IF(Raw_Data!F120&gt;=5000000,"PASS","FAIL")</f>
        <v/>
      </c>
      <c r="L120" s="6">
        <f>IF(AND(D120="PASS",E120="PASS",F120="PASS",G120="PASS",H120="PASS",I120="PASS",J120="PASS",K120="PASS"),"Qualified","Disqualified")</f>
        <v/>
      </c>
    </row>
    <row r="121">
      <c r="A121" s="8">
        <f>Raw_Data!A121</f>
        <v/>
      </c>
      <c r="B121" s="9">
        <f>Raw_Data!B121</f>
        <v/>
      </c>
      <c r="C121" s="9">
        <f>Raw_Data!C121</f>
        <v/>
      </c>
      <c r="D121" s="9">
        <f>IF(Raw_Data!D121&gt;=3,"PASS","FAIL")</f>
        <v/>
      </c>
      <c r="E121" s="9">
        <f>IF(Raw_Data!E121&gt;=50,"PASS","FAIL")</f>
        <v/>
      </c>
      <c r="F121" s="9">
        <f>IF(Raw_Data!F121&gt;=1000000,"PASS","FAIL")</f>
        <v/>
      </c>
      <c r="G121" s="9">
        <f>IF(ISNUMBER(SEARCH("@",Raw_Data!G121)),"PASS","FAIL")</f>
        <v/>
      </c>
      <c r="H121" s="9">
        <f>IF(OR(Raw_Data!C121="North America",Raw_Data!C121="Europe",Raw_Data!C121="Asia Pacific"),"PASS","FAIL")</f>
        <v/>
      </c>
      <c r="I121" s="9">
        <f>IF(Raw_Data!H121&lt;=1500000,"PASS","FAIL")</f>
        <v/>
      </c>
      <c r="J121" s="9">
        <f>IF(Raw_Data!D121&gt;=5,"PASS","FAIL")</f>
        <v/>
      </c>
      <c r="K121" s="9">
        <f>IF(Raw_Data!F121&gt;=5000000,"PASS","FAIL")</f>
        <v/>
      </c>
      <c r="L121" s="9">
        <f>IF(AND(D121="PASS",E121="PASS",F121="PASS",G121="PASS",H121="PASS",I121="PASS",J121="PASS",K121="PASS"),"Qualified","Disqualified")</f>
        <v/>
      </c>
    </row>
  </sheetData>
  <autoFilter ref="A1:L121"/>
  <conditionalFormatting sqref="D2:D121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E2:E121">
    <cfRule type="cellIs" priority="3" operator="equal" dxfId="0">
      <formula>"PASS"</formula>
    </cfRule>
    <cfRule type="cellIs" priority="4" operator="equal" dxfId="1">
      <formula>"FAIL"</formula>
    </cfRule>
  </conditionalFormatting>
  <conditionalFormatting sqref="F2:F121">
    <cfRule type="cellIs" priority="5" operator="equal" dxfId="0">
      <formula>"PASS"</formula>
    </cfRule>
    <cfRule type="cellIs" priority="6" operator="equal" dxfId="1">
      <formula>"FAIL"</formula>
    </cfRule>
  </conditionalFormatting>
  <conditionalFormatting sqref="G2:G121">
    <cfRule type="cellIs" priority="7" operator="equal" dxfId="0">
      <formula>"PASS"</formula>
    </cfRule>
    <cfRule type="cellIs" priority="8" operator="equal" dxfId="1">
      <formula>"FAIL"</formula>
    </cfRule>
  </conditionalFormatting>
  <conditionalFormatting sqref="H2:H121">
    <cfRule type="cellIs" priority="9" operator="equal" dxfId="0">
      <formula>"PASS"</formula>
    </cfRule>
    <cfRule type="cellIs" priority="10" operator="equal" dxfId="1">
      <formula>"FAIL"</formula>
    </cfRule>
  </conditionalFormatting>
  <conditionalFormatting sqref="I2:I121">
    <cfRule type="cellIs" priority="11" operator="equal" dxfId="0">
      <formula>"PASS"</formula>
    </cfRule>
    <cfRule type="cellIs" priority="12" operator="equal" dxfId="1">
      <formula>"FAIL"</formula>
    </cfRule>
  </conditionalFormatting>
  <conditionalFormatting sqref="J2:J121">
    <cfRule type="cellIs" priority="13" operator="equal" dxfId="0">
      <formula>"PASS"</formula>
    </cfRule>
    <cfRule type="cellIs" priority="14" operator="equal" dxfId="1">
      <formula>"FAIL"</formula>
    </cfRule>
  </conditionalFormatting>
  <conditionalFormatting sqref="K2:K121">
    <cfRule type="cellIs" priority="15" operator="equal" dxfId="0">
      <formula>"PASS"</formula>
    </cfRule>
    <cfRule type="cellIs" priority="16" operator="equal" dxfId="1">
      <formula>"FAIL"</formula>
    </cfRule>
  </conditionalFormatting>
  <conditionalFormatting sqref="L2:L121">
    <cfRule type="cellIs" priority="17" operator="equal" dxfId="2">
      <formula>"Qualified"</formula>
    </cfRule>
    <cfRule type="cellIs" priority="18" operator="equal" dxfId="3">
      <formula>"Disqualified"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Region</t>
        </is>
      </c>
      <c r="D1" s="4" t="inlineStr">
        <is>
          <t>Experience (25%)</t>
        </is>
      </c>
      <c r="E1" s="4" t="inlineStr">
        <is>
          <t>Team Strength (25%)</t>
        </is>
      </c>
      <c r="F1" s="4" t="inlineStr">
        <is>
          <t>Delivery (25%)</t>
        </is>
      </c>
      <c r="G1" s="4" t="inlineStr">
        <is>
          <t>Quality (25%)</t>
        </is>
      </c>
      <c r="H1" s="4" t="inlineStr">
        <is>
          <t>Weighted Total</t>
        </is>
      </c>
    </row>
    <row r="2">
      <c r="A2" s="5">
        <f>Raw_Data!A2</f>
        <v/>
      </c>
      <c r="B2" s="6">
        <f>Raw_Data!B2</f>
        <v/>
      </c>
      <c r="C2" s="6">
        <f>Raw_Data!C2</f>
        <v/>
      </c>
      <c r="D2" s="11" t="n">
        <v>94</v>
      </c>
      <c r="E2" s="11" t="n">
        <v>60</v>
      </c>
      <c r="F2" s="11" t="n">
        <v>95</v>
      </c>
      <c r="G2" s="11" t="n">
        <v>87</v>
      </c>
      <c r="H2" s="11">
        <f>ROUND(D2*0.25+E2*0.25+F2*0.25+G2*0.25,1)</f>
        <v/>
      </c>
    </row>
    <row r="3">
      <c r="A3" s="8">
        <f>Raw_Data!A3</f>
        <v/>
      </c>
      <c r="B3" s="9">
        <f>Raw_Data!B3</f>
        <v/>
      </c>
      <c r="C3" s="9">
        <f>Raw_Data!C3</f>
        <v/>
      </c>
      <c r="D3" s="12" t="n">
        <v>72</v>
      </c>
      <c r="E3" s="12" t="n">
        <v>100</v>
      </c>
      <c r="F3" s="12" t="n">
        <v>99</v>
      </c>
      <c r="G3" s="12" t="n">
        <v>94</v>
      </c>
      <c r="H3" s="12">
        <f>ROUND(D3*0.25+E3*0.25+F3*0.25+G3*0.25,1)</f>
        <v/>
      </c>
    </row>
    <row r="4">
      <c r="A4" s="5">
        <f>Raw_Data!A4</f>
        <v/>
      </c>
      <c r="B4" s="6">
        <f>Raw_Data!B4</f>
        <v/>
      </c>
      <c r="C4" s="6">
        <f>Raw_Data!C4</f>
        <v/>
      </c>
      <c r="D4" s="11" t="n">
        <v>69</v>
      </c>
      <c r="E4" s="11" t="n">
        <v>68</v>
      </c>
      <c r="F4" s="11" t="n">
        <v>79</v>
      </c>
      <c r="G4" s="11" t="n">
        <v>66</v>
      </c>
      <c r="H4" s="11">
        <f>ROUND(D4*0.25+E4*0.25+F4*0.25+G4*0.25,1)</f>
        <v/>
      </c>
    </row>
    <row r="5">
      <c r="A5" s="8">
        <f>Raw_Data!A5</f>
        <v/>
      </c>
      <c r="B5" s="9">
        <f>Raw_Data!B5</f>
        <v/>
      </c>
      <c r="C5" s="9">
        <f>Raw_Data!C5</f>
        <v/>
      </c>
      <c r="D5" s="12" t="n">
        <v>89</v>
      </c>
      <c r="E5" s="12" t="n">
        <v>89</v>
      </c>
      <c r="F5" s="12" t="n">
        <v>65</v>
      </c>
      <c r="G5" s="12" t="n">
        <v>84</v>
      </c>
      <c r="H5" s="12">
        <f>ROUND(D5*0.25+E5*0.25+F5*0.25+G5*0.25,1)</f>
        <v/>
      </c>
    </row>
    <row r="6">
      <c r="A6" s="5">
        <f>Raw_Data!A6</f>
        <v/>
      </c>
      <c r="B6" s="6">
        <f>Raw_Data!B6</f>
        <v/>
      </c>
      <c r="C6" s="6">
        <f>Raw_Data!C6</f>
        <v/>
      </c>
      <c r="D6" s="11" t="n">
        <v>74</v>
      </c>
      <c r="E6" s="11" t="n">
        <v>73</v>
      </c>
      <c r="F6" s="11" t="n">
        <v>63</v>
      </c>
      <c r="G6" s="11" t="n">
        <v>74</v>
      </c>
      <c r="H6" s="11">
        <f>ROUND(D6*0.25+E6*0.25+F6*0.25+G6*0.25,1)</f>
        <v/>
      </c>
    </row>
    <row r="7">
      <c r="A7" s="8">
        <f>Raw_Data!A7</f>
        <v/>
      </c>
      <c r="B7" s="9">
        <f>Raw_Data!B7</f>
        <v/>
      </c>
      <c r="C7" s="9">
        <f>Raw_Data!C7</f>
        <v/>
      </c>
      <c r="D7" s="12" t="n">
        <v>77</v>
      </c>
      <c r="E7" s="12" t="n">
        <v>99</v>
      </c>
      <c r="F7" s="12" t="n">
        <v>99</v>
      </c>
      <c r="G7" s="12" t="n">
        <v>64</v>
      </c>
      <c r="H7" s="12">
        <f>ROUND(D7*0.25+E7*0.25+F7*0.25+G7*0.25,1)</f>
        <v/>
      </c>
    </row>
    <row r="8">
      <c r="A8" s="5">
        <f>Raw_Data!A8</f>
        <v/>
      </c>
      <c r="B8" s="6">
        <f>Raw_Data!B8</f>
        <v/>
      </c>
      <c r="C8" s="6">
        <f>Raw_Data!C8</f>
        <v/>
      </c>
      <c r="D8" s="11" t="n">
        <v>95</v>
      </c>
      <c r="E8" s="11" t="n">
        <v>69</v>
      </c>
      <c r="F8" s="11" t="n">
        <v>78</v>
      </c>
      <c r="G8" s="11" t="n">
        <v>63</v>
      </c>
      <c r="H8" s="11">
        <f>ROUND(D8*0.25+E8*0.25+F8*0.25+G8*0.25,1)</f>
        <v/>
      </c>
    </row>
    <row r="9">
      <c r="A9" s="8">
        <f>Raw_Data!A9</f>
        <v/>
      </c>
      <c r="B9" s="9">
        <f>Raw_Data!B9</f>
        <v/>
      </c>
      <c r="C9" s="9">
        <f>Raw_Data!C9</f>
        <v/>
      </c>
      <c r="D9" s="12" t="n">
        <v>80</v>
      </c>
      <c r="E9" s="12" t="n">
        <v>68</v>
      </c>
      <c r="F9" s="12" t="n">
        <v>99</v>
      </c>
      <c r="G9" s="12" t="n">
        <v>91</v>
      </c>
      <c r="H9" s="12">
        <f>ROUND(D9*0.25+E9*0.25+F9*0.25+G9*0.25,1)</f>
        <v/>
      </c>
    </row>
    <row r="10">
      <c r="A10" s="5">
        <f>Raw_Data!A10</f>
        <v/>
      </c>
      <c r="B10" s="6">
        <f>Raw_Data!B10</f>
        <v/>
      </c>
      <c r="C10" s="6">
        <f>Raw_Data!C10</f>
        <v/>
      </c>
      <c r="D10" s="11" t="n">
        <v>97</v>
      </c>
      <c r="E10" s="11" t="n">
        <v>82</v>
      </c>
      <c r="F10" s="11" t="n">
        <v>95</v>
      </c>
      <c r="G10" s="11" t="n">
        <v>85</v>
      </c>
      <c r="H10" s="11">
        <f>ROUND(D10*0.25+E10*0.25+F10*0.25+G10*0.25,1)</f>
        <v/>
      </c>
    </row>
    <row r="11">
      <c r="A11" s="8">
        <f>Raw_Data!A11</f>
        <v/>
      </c>
      <c r="B11" s="9">
        <f>Raw_Data!B11</f>
        <v/>
      </c>
      <c r="C11" s="9">
        <f>Raw_Data!C11</f>
        <v/>
      </c>
      <c r="D11" s="12" t="n">
        <v>70</v>
      </c>
      <c r="E11" s="12" t="n">
        <v>98</v>
      </c>
      <c r="F11" s="12" t="n">
        <v>85</v>
      </c>
      <c r="G11" s="12" t="n">
        <v>98</v>
      </c>
      <c r="H11" s="12">
        <f>ROUND(D11*0.25+E11*0.25+F11*0.25+G11*0.25,1)</f>
        <v/>
      </c>
    </row>
    <row r="12">
      <c r="A12" s="5">
        <f>Raw_Data!A12</f>
        <v/>
      </c>
      <c r="B12" s="6">
        <f>Raw_Data!B12</f>
        <v/>
      </c>
      <c r="C12" s="6">
        <f>Raw_Data!C12</f>
        <v/>
      </c>
      <c r="D12" s="11" t="n">
        <v>67</v>
      </c>
      <c r="E12" s="11" t="n">
        <v>98</v>
      </c>
      <c r="F12" s="11" t="n">
        <v>92</v>
      </c>
      <c r="G12" s="11" t="n">
        <v>77</v>
      </c>
      <c r="H12" s="11">
        <f>ROUND(D12*0.25+E12*0.25+F12*0.25+G12*0.25,1)</f>
        <v/>
      </c>
    </row>
    <row r="13">
      <c r="A13" s="8">
        <f>Raw_Data!A13</f>
        <v/>
      </c>
      <c r="B13" s="9">
        <f>Raw_Data!B13</f>
        <v/>
      </c>
      <c r="C13" s="9">
        <f>Raw_Data!C13</f>
        <v/>
      </c>
      <c r="D13" s="12" t="n">
        <v>76</v>
      </c>
      <c r="E13" s="12" t="n">
        <v>87</v>
      </c>
      <c r="F13" s="12" t="n">
        <v>69</v>
      </c>
      <c r="G13" s="12" t="n">
        <v>92</v>
      </c>
      <c r="H13" s="12">
        <f>ROUND(D13*0.25+E13*0.25+F13*0.25+G13*0.25,1)</f>
        <v/>
      </c>
    </row>
    <row r="14">
      <c r="A14" s="5">
        <f>Raw_Data!A14</f>
        <v/>
      </c>
      <c r="B14" s="6">
        <f>Raw_Data!B14</f>
        <v/>
      </c>
      <c r="C14" s="6">
        <f>Raw_Data!C14</f>
        <v/>
      </c>
      <c r="D14" s="11" t="n">
        <v>93</v>
      </c>
      <c r="E14" s="11" t="n">
        <v>55</v>
      </c>
      <c r="F14" s="11" t="n">
        <v>96</v>
      </c>
      <c r="G14" s="11" t="n">
        <v>80</v>
      </c>
      <c r="H14" s="11">
        <f>ROUND(D14*0.25+E14*0.25+F14*0.25+G14*0.25,1)</f>
        <v/>
      </c>
    </row>
    <row r="15">
      <c r="A15" s="8">
        <f>Raw_Data!A15</f>
        <v/>
      </c>
      <c r="B15" s="9">
        <f>Raw_Data!B15</f>
        <v/>
      </c>
      <c r="C15" s="9">
        <f>Raw_Data!C15</f>
        <v/>
      </c>
      <c r="D15" s="12" t="n">
        <v>96</v>
      </c>
      <c r="E15" s="12" t="n">
        <v>60</v>
      </c>
      <c r="F15" s="12" t="n">
        <v>63</v>
      </c>
      <c r="G15" s="12" t="n">
        <v>91</v>
      </c>
      <c r="H15" s="12">
        <f>ROUND(D15*0.25+E15*0.25+F15*0.25+G15*0.25,1)</f>
        <v/>
      </c>
    </row>
    <row r="16">
      <c r="A16" s="5">
        <f>Raw_Data!A16</f>
        <v/>
      </c>
      <c r="B16" s="6">
        <f>Raw_Data!B16</f>
        <v/>
      </c>
      <c r="C16" s="6">
        <f>Raw_Data!C16</f>
        <v/>
      </c>
      <c r="D16" s="11" t="n">
        <v>98</v>
      </c>
      <c r="E16" s="11" t="n">
        <v>82</v>
      </c>
      <c r="F16" s="11" t="n">
        <v>71</v>
      </c>
      <c r="G16" s="11" t="n">
        <v>94</v>
      </c>
      <c r="H16" s="11">
        <f>ROUND(D16*0.25+E16*0.25+F16*0.25+G16*0.25,1)</f>
        <v/>
      </c>
    </row>
    <row r="17">
      <c r="A17" s="8">
        <f>Raw_Data!A17</f>
        <v/>
      </c>
      <c r="B17" s="9">
        <f>Raw_Data!B17</f>
        <v/>
      </c>
      <c r="C17" s="9">
        <f>Raw_Data!C17</f>
        <v/>
      </c>
      <c r="D17" s="12" t="n">
        <v>74</v>
      </c>
      <c r="E17" s="12" t="n">
        <v>59</v>
      </c>
      <c r="F17" s="12" t="n">
        <v>79</v>
      </c>
      <c r="G17" s="12" t="n">
        <v>61</v>
      </c>
      <c r="H17" s="12">
        <f>ROUND(D17*0.25+E17*0.25+F17*0.25+G17*0.25,1)</f>
        <v/>
      </c>
    </row>
    <row r="18">
      <c r="A18" s="5">
        <f>Raw_Data!A18</f>
        <v/>
      </c>
      <c r="B18" s="6">
        <f>Raw_Data!B18</f>
        <v/>
      </c>
      <c r="C18" s="6">
        <f>Raw_Data!C18</f>
        <v/>
      </c>
      <c r="D18" s="11" t="n">
        <v>62</v>
      </c>
      <c r="E18" s="11" t="n">
        <v>76</v>
      </c>
      <c r="F18" s="11" t="n">
        <v>62</v>
      </c>
      <c r="G18" s="11" t="n">
        <v>92</v>
      </c>
      <c r="H18" s="11">
        <f>ROUND(D18*0.25+E18*0.25+F18*0.25+G18*0.25,1)</f>
        <v/>
      </c>
    </row>
    <row r="19">
      <c r="A19" s="8">
        <f>Raw_Data!A19</f>
        <v/>
      </c>
      <c r="B19" s="9">
        <f>Raw_Data!B19</f>
        <v/>
      </c>
      <c r="C19" s="9">
        <f>Raw_Data!C19</f>
        <v/>
      </c>
      <c r="D19" s="12" t="n">
        <v>75</v>
      </c>
      <c r="E19" s="12" t="n">
        <v>85</v>
      </c>
      <c r="F19" s="12" t="n">
        <v>84</v>
      </c>
      <c r="G19" s="12" t="n">
        <v>72</v>
      </c>
      <c r="H19" s="12">
        <f>ROUND(D19*0.25+E19*0.25+F19*0.25+G19*0.25,1)</f>
        <v/>
      </c>
    </row>
    <row r="20">
      <c r="A20" s="5">
        <f>Raw_Data!A20</f>
        <v/>
      </c>
      <c r="B20" s="6">
        <f>Raw_Data!B20</f>
        <v/>
      </c>
      <c r="C20" s="6">
        <f>Raw_Data!C20</f>
        <v/>
      </c>
      <c r="D20" s="11" t="n">
        <v>63</v>
      </c>
      <c r="E20" s="11" t="n">
        <v>98</v>
      </c>
      <c r="F20" s="11" t="n">
        <v>99</v>
      </c>
      <c r="G20" s="11" t="n">
        <v>66</v>
      </c>
      <c r="H20" s="11">
        <f>ROUND(D20*0.25+E20*0.25+F20*0.25+G20*0.25,1)</f>
        <v/>
      </c>
    </row>
    <row r="21">
      <c r="A21" s="8">
        <f>Raw_Data!A21</f>
        <v/>
      </c>
      <c r="B21" s="9">
        <f>Raw_Data!B21</f>
        <v/>
      </c>
      <c r="C21" s="9">
        <f>Raw_Data!C21</f>
        <v/>
      </c>
      <c r="D21" s="12" t="n">
        <v>68</v>
      </c>
      <c r="E21" s="12" t="n">
        <v>82</v>
      </c>
      <c r="F21" s="12" t="n">
        <v>69</v>
      </c>
      <c r="G21" s="12" t="n">
        <v>77</v>
      </c>
      <c r="H21" s="12">
        <f>ROUND(D21*0.25+E21*0.25+F21*0.25+G21*0.25,1)</f>
        <v/>
      </c>
    </row>
    <row r="22">
      <c r="A22" s="5">
        <f>Raw_Data!A22</f>
        <v/>
      </c>
      <c r="B22" s="6">
        <f>Raw_Data!B22</f>
        <v/>
      </c>
      <c r="C22" s="6">
        <f>Raw_Data!C22</f>
        <v/>
      </c>
      <c r="D22" s="11" t="n">
        <v>60</v>
      </c>
      <c r="E22" s="11" t="n">
        <v>60</v>
      </c>
      <c r="F22" s="11" t="n">
        <v>73</v>
      </c>
      <c r="G22" s="11" t="n">
        <v>70</v>
      </c>
      <c r="H22" s="11">
        <f>ROUND(D22*0.25+E22*0.25+F22*0.25+G22*0.25,1)</f>
        <v/>
      </c>
    </row>
    <row r="23">
      <c r="A23" s="8">
        <f>Raw_Data!A23</f>
        <v/>
      </c>
      <c r="B23" s="9">
        <f>Raw_Data!B23</f>
        <v/>
      </c>
      <c r="C23" s="9">
        <f>Raw_Data!C23</f>
        <v/>
      </c>
      <c r="D23" s="12" t="n">
        <v>84</v>
      </c>
      <c r="E23" s="12" t="n">
        <v>71</v>
      </c>
      <c r="F23" s="12" t="n">
        <v>87</v>
      </c>
      <c r="G23" s="12" t="n">
        <v>78</v>
      </c>
      <c r="H23" s="12">
        <f>ROUND(D23*0.25+E23*0.25+F23*0.25+G23*0.25,1)</f>
        <v/>
      </c>
    </row>
    <row r="24">
      <c r="A24" s="5">
        <f>Raw_Data!A24</f>
        <v/>
      </c>
      <c r="B24" s="6">
        <f>Raw_Data!B24</f>
        <v/>
      </c>
      <c r="C24" s="6">
        <f>Raw_Data!C24</f>
        <v/>
      </c>
      <c r="D24" s="11" t="n">
        <v>94</v>
      </c>
      <c r="E24" s="11" t="n">
        <v>58</v>
      </c>
      <c r="F24" s="11" t="n">
        <v>78</v>
      </c>
      <c r="G24" s="11" t="n">
        <v>63</v>
      </c>
      <c r="H24" s="11">
        <f>ROUND(D24*0.25+E24*0.25+F24*0.25+G24*0.25,1)</f>
        <v/>
      </c>
    </row>
    <row r="25">
      <c r="A25" s="8">
        <f>Raw_Data!A25</f>
        <v/>
      </c>
      <c r="B25" s="9">
        <f>Raw_Data!B25</f>
        <v/>
      </c>
      <c r="C25" s="9">
        <f>Raw_Data!C25</f>
        <v/>
      </c>
      <c r="D25" s="12" t="n">
        <v>64</v>
      </c>
      <c r="E25" s="12" t="n">
        <v>93</v>
      </c>
      <c r="F25" s="12" t="n">
        <v>62</v>
      </c>
      <c r="G25" s="12" t="n">
        <v>75</v>
      </c>
      <c r="H25" s="12">
        <f>ROUND(D25*0.25+E25*0.25+F25*0.25+G25*0.25,1)</f>
        <v/>
      </c>
    </row>
    <row r="26">
      <c r="A26" s="5">
        <f>Raw_Data!A26</f>
        <v/>
      </c>
      <c r="B26" s="6">
        <f>Raw_Data!B26</f>
        <v/>
      </c>
      <c r="C26" s="6">
        <f>Raw_Data!C26</f>
        <v/>
      </c>
      <c r="D26" s="11" t="n">
        <v>86</v>
      </c>
      <c r="E26" s="11" t="n">
        <v>97</v>
      </c>
      <c r="F26" s="11" t="n">
        <v>95</v>
      </c>
      <c r="G26" s="11" t="n">
        <v>96</v>
      </c>
      <c r="H26" s="11">
        <f>ROUND(D26*0.25+E26*0.25+F26*0.25+G26*0.25,1)</f>
        <v/>
      </c>
    </row>
    <row r="27">
      <c r="A27" s="8">
        <f>Raw_Data!A27</f>
        <v/>
      </c>
      <c r="B27" s="9">
        <f>Raw_Data!B27</f>
        <v/>
      </c>
      <c r="C27" s="9">
        <f>Raw_Data!C27</f>
        <v/>
      </c>
      <c r="D27" s="12" t="n">
        <v>79</v>
      </c>
      <c r="E27" s="12" t="n">
        <v>84</v>
      </c>
      <c r="F27" s="12" t="n">
        <v>78</v>
      </c>
      <c r="G27" s="12" t="n">
        <v>64</v>
      </c>
      <c r="H27" s="12">
        <f>ROUND(D27*0.25+E27*0.25+F27*0.25+G27*0.25,1)</f>
        <v/>
      </c>
    </row>
    <row r="28">
      <c r="A28" s="5">
        <f>Raw_Data!A28</f>
        <v/>
      </c>
      <c r="B28" s="6">
        <f>Raw_Data!B28</f>
        <v/>
      </c>
      <c r="C28" s="6">
        <f>Raw_Data!C28</f>
        <v/>
      </c>
      <c r="D28" s="11" t="n">
        <v>68</v>
      </c>
      <c r="E28" s="11" t="n">
        <v>77</v>
      </c>
      <c r="F28" s="11" t="n">
        <v>62</v>
      </c>
      <c r="G28" s="11" t="n">
        <v>75</v>
      </c>
      <c r="H28" s="11">
        <f>ROUND(D28*0.25+E28*0.25+F28*0.25+G28*0.25,1)</f>
        <v/>
      </c>
    </row>
    <row r="29">
      <c r="A29" s="8">
        <f>Raw_Data!A29</f>
        <v/>
      </c>
      <c r="B29" s="9">
        <f>Raw_Data!B29</f>
        <v/>
      </c>
      <c r="C29" s="9">
        <f>Raw_Data!C29</f>
        <v/>
      </c>
      <c r="D29" s="12" t="n">
        <v>93</v>
      </c>
      <c r="E29" s="12" t="n">
        <v>55</v>
      </c>
      <c r="F29" s="12" t="n">
        <v>100</v>
      </c>
      <c r="G29" s="12" t="n">
        <v>95</v>
      </c>
      <c r="H29" s="12">
        <f>ROUND(D29*0.25+E29*0.25+F29*0.25+G29*0.25,1)</f>
        <v/>
      </c>
    </row>
    <row r="30">
      <c r="A30" s="5">
        <f>Raw_Data!A30</f>
        <v/>
      </c>
      <c r="B30" s="6">
        <f>Raw_Data!B30</f>
        <v/>
      </c>
      <c r="C30" s="6">
        <f>Raw_Data!C30</f>
        <v/>
      </c>
      <c r="D30" s="11" t="n">
        <v>78</v>
      </c>
      <c r="E30" s="11" t="n">
        <v>93</v>
      </c>
      <c r="F30" s="11" t="n">
        <v>71</v>
      </c>
      <c r="G30" s="11" t="n">
        <v>81</v>
      </c>
      <c r="H30" s="11">
        <f>ROUND(D30*0.25+E30*0.25+F30*0.25+G30*0.25,1)</f>
        <v/>
      </c>
    </row>
    <row r="31">
      <c r="A31" s="8">
        <f>Raw_Data!A31</f>
        <v/>
      </c>
      <c r="B31" s="9">
        <f>Raw_Data!B31</f>
        <v/>
      </c>
      <c r="C31" s="9">
        <f>Raw_Data!C31</f>
        <v/>
      </c>
      <c r="D31" s="12" t="n">
        <v>77</v>
      </c>
      <c r="E31" s="12" t="n">
        <v>57</v>
      </c>
      <c r="F31" s="12" t="n">
        <v>58</v>
      </c>
      <c r="G31" s="12" t="n">
        <v>81</v>
      </c>
      <c r="H31" s="12">
        <f>ROUND(D31*0.25+E31*0.25+F31*0.25+G31*0.25,1)</f>
        <v/>
      </c>
    </row>
    <row r="32">
      <c r="A32" s="5">
        <f>Raw_Data!A32</f>
        <v/>
      </c>
      <c r="B32" s="6">
        <f>Raw_Data!B32</f>
        <v/>
      </c>
      <c r="C32" s="6">
        <f>Raw_Data!C32</f>
        <v/>
      </c>
      <c r="D32" s="11" t="n">
        <v>67</v>
      </c>
      <c r="E32" s="11" t="n">
        <v>59</v>
      </c>
      <c r="F32" s="11" t="n">
        <v>67</v>
      </c>
      <c r="G32" s="11" t="n">
        <v>94</v>
      </c>
      <c r="H32" s="11">
        <f>ROUND(D32*0.25+E32*0.25+F32*0.25+G32*0.25,1)</f>
        <v/>
      </c>
    </row>
    <row r="33">
      <c r="A33" s="8">
        <f>Raw_Data!A33</f>
        <v/>
      </c>
      <c r="B33" s="9">
        <f>Raw_Data!B33</f>
        <v/>
      </c>
      <c r="C33" s="9">
        <f>Raw_Data!C33</f>
        <v/>
      </c>
      <c r="D33" s="12" t="n">
        <v>62</v>
      </c>
      <c r="E33" s="12" t="n">
        <v>77</v>
      </c>
      <c r="F33" s="12" t="n">
        <v>71</v>
      </c>
      <c r="G33" s="12" t="n">
        <v>75</v>
      </c>
      <c r="H33" s="12">
        <f>ROUND(D33*0.25+E33*0.25+F33*0.25+G33*0.25,1)</f>
        <v/>
      </c>
    </row>
    <row r="34">
      <c r="A34" s="5">
        <f>Raw_Data!A34</f>
        <v/>
      </c>
      <c r="B34" s="6">
        <f>Raw_Data!B34</f>
        <v/>
      </c>
      <c r="C34" s="6">
        <f>Raw_Data!C34</f>
        <v/>
      </c>
      <c r="D34" s="11" t="n">
        <v>70</v>
      </c>
      <c r="E34" s="11" t="n">
        <v>66</v>
      </c>
      <c r="F34" s="11" t="n">
        <v>84</v>
      </c>
      <c r="G34" s="11" t="n">
        <v>61</v>
      </c>
      <c r="H34" s="11">
        <f>ROUND(D34*0.25+E34*0.25+F34*0.25+G34*0.25,1)</f>
        <v/>
      </c>
    </row>
    <row r="35">
      <c r="A35" s="8">
        <f>Raw_Data!A35</f>
        <v/>
      </c>
      <c r="B35" s="9">
        <f>Raw_Data!B35</f>
        <v/>
      </c>
      <c r="C35" s="9">
        <f>Raw_Data!C35</f>
        <v/>
      </c>
      <c r="D35" s="12" t="n">
        <v>62</v>
      </c>
      <c r="E35" s="12" t="n">
        <v>85</v>
      </c>
      <c r="F35" s="12" t="n">
        <v>72</v>
      </c>
      <c r="G35" s="12" t="n">
        <v>72</v>
      </c>
      <c r="H35" s="12">
        <f>ROUND(D35*0.25+E35*0.25+F35*0.25+G35*0.25,1)</f>
        <v/>
      </c>
    </row>
    <row r="36">
      <c r="A36" s="5">
        <f>Raw_Data!A36</f>
        <v/>
      </c>
      <c r="B36" s="6">
        <f>Raw_Data!B36</f>
        <v/>
      </c>
      <c r="C36" s="6">
        <f>Raw_Data!C36</f>
        <v/>
      </c>
      <c r="D36" s="11" t="n">
        <v>77</v>
      </c>
      <c r="E36" s="11" t="n">
        <v>59</v>
      </c>
      <c r="F36" s="11" t="n">
        <v>75</v>
      </c>
      <c r="G36" s="11" t="n">
        <v>82</v>
      </c>
      <c r="H36" s="11">
        <f>ROUND(D36*0.25+E36*0.25+F36*0.25+G36*0.25,1)</f>
        <v/>
      </c>
    </row>
    <row r="37">
      <c r="A37" s="8">
        <f>Raw_Data!A37</f>
        <v/>
      </c>
      <c r="B37" s="9">
        <f>Raw_Data!B37</f>
        <v/>
      </c>
      <c r="C37" s="9">
        <f>Raw_Data!C37</f>
        <v/>
      </c>
      <c r="D37" s="12" t="n">
        <v>76</v>
      </c>
      <c r="E37" s="12" t="n">
        <v>57</v>
      </c>
      <c r="F37" s="12" t="n">
        <v>64</v>
      </c>
      <c r="G37" s="12" t="n">
        <v>98</v>
      </c>
      <c r="H37" s="12">
        <f>ROUND(D37*0.25+E37*0.25+F37*0.25+G37*0.25,1)</f>
        <v/>
      </c>
    </row>
    <row r="38">
      <c r="A38" s="5">
        <f>Raw_Data!A38</f>
        <v/>
      </c>
      <c r="B38" s="6">
        <f>Raw_Data!B38</f>
        <v/>
      </c>
      <c r="C38" s="6">
        <f>Raw_Data!C38</f>
        <v/>
      </c>
      <c r="D38" s="11" t="n">
        <v>96</v>
      </c>
      <c r="E38" s="11" t="n">
        <v>67</v>
      </c>
      <c r="F38" s="11" t="n">
        <v>74</v>
      </c>
      <c r="G38" s="11" t="n">
        <v>62</v>
      </c>
      <c r="H38" s="11">
        <f>ROUND(D38*0.25+E38*0.25+F38*0.25+G38*0.25,1)</f>
        <v/>
      </c>
    </row>
    <row r="39">
      <c r="A39" s="8">
        <f>Raw_Data!A39</f>
        <v/>
      </c>
      <c r="B39" s="9">
        <f>Raw_Data!B39</f>
        <v/>
      </c>
      <c r="C39" s="9">
        <f>Raw_Data!C39</f>
        <v/>
      </c>
      <c r="D39" s="12" t="n">
        <v>99</v>
      </c>
      <c r="E39" s="12" t="n">
        <v>75</v>
      </c>
      <c r="F39" s="12" t="n">
        <v>100</v>
      </c>
      <c r="G39" s="12" t="n">
        <v>67</v>
      </c>
      <c r="H39" s="12">
        <f>ROUND(D39*0.25+E39*0.25+F39*0.25+G39*0.25,1)</f>
        <v/>
      </c>
    </row>
    <row r="40">
      <c r="A40" s="5">
        <f>Raw_Data!A40</f>
        <v/>
      </c>
      <c r="B40" s="6">
        <f>Raw_Data!B40</f>
        <v/>
      </c>
      <c r="C40" s="6">
        <f>Raw_Data!C40</f>
        <v/>
      </c>
      <c r="D40" s="11" t="n">
        <v>72</v>
      </c>
      <c r="E40" s="11" t="n">
        <v>81</v>
      </c>
      <c r="F40" s="11" t="n">
        <v>100</v>
      </c>
      <c r="G40" s="11" t="n">
        <v>84</v>
      </c>
      <c r="H40" s="11">
        <f>ROUND(D40*0.25+E40*0.25+F40*0.25+G40*0.25,1)</f>
        <v/>
      </c>
    </row>
    <row r="41">
      <c r="A41" s="8">
        <f>Raw_Data!A41</f>
        <v/>
      </c>
      <c r="B41" s="9">
        <f>Raw_Data!B41</f>
        <v/>
      </c>
      <c r="C41" s="9">
        <f>Raw_Data!C41</f>
        <v/>
      </c>
      <c r="D41" s="12" t="n">
        <v>73</v>
      </c>
      <c r="E41" s="12" t="n">
        <v>82</v>
      </c>
      <c r="F41" s="12" t="n">
        <v>95</v>
      </c>
      <c r="G41" s="12" t="n">
        <v>98</v>
      </c>
      <c r="H41" s="12">
        <f>ROUND(D41*0.25+E41*0.25+F41*0.25+G41*0.25,1)</f>
        <v/>
      </c>
    </row>
    <row r="42">
      <c r="A42" s="5">
        <f>Raw_Data!A42</f>
        <v/>
      </c>
      <c r="B42" s="6">
        <f>Raw_Data!B42</f>
        <v/>
      </c>
      <c r="C42" s="6">
        <f>Raw_Data!C42</f>
        <v/>
      </c>
      <c r="D42" s="11" t="n">
        <v>70</v>
      </c>
      <c r="E42" s="11" t="n">
        <v>97</v>
      </c>
      <c r="F42" s="11" t="n">
        <v>63</v>
      </c>
      <c r="G42" s="11" t="n">
        <v>78</v>
      </c>
      <c r="H42" s="11">
        <f>ROUND(D42*0.25+E42*0.25+F42*0.25+G42*0.25,1)</f>
        <v/>
      </c>
    </row>
    <row r="43">
      <c r="A43" s="8">
        <f>Raw_Data!A43</f>
        <v/>
      </c>
      <c r="B43" s="9">
        <f>Raw_Data!B43</f>
        <v/>
      </c>
      <c r="C43" s="9">
        <f>Raw_Data!C43</f>
        <v/>
      </c>
      <c r="D43" s="12" t="n">
        <v>72</v>
      </c>
      <c r="E43" s="12" t="n">
        <v>64</v>
      </c>
      <c r="F43" s="12" t="n">
        <v>59</v>
      </c>
      <c r="G43" s="12" t="n">
        <v>62</v>
      </c>
      <c r="H43" s="12">
        <f>ROUND(D43*0.25+E43*0.25+F43*0.25+G43*0.25,1)</f>
        <v/>
      </c>
    </row>
    <row r="44">
      <c r="A44" s="5">
        <f>Raw_Data!A44</f>
        <v/>
      </c>
      <c r="B44" s="6">
        <f>Raw_Data!B44</f>
        <v/>
      </c>
      <c r="C44" s="6">
        <f>Raw_Data!C44</f>
        <v/>
      </c>
      <c r="D44" s="11" t="n">
        <v>84</v>
      </c>
      <c r="E44" s="11" t="n">
        <v>86</v>
      </c>
      <c r="F44" s="11" t="n">
        <v>83</v>
      </c>
      <c r="G44" s="11" t="n">
        <v>75</v>
      </c>
      <c r="H44" s="11">
        <f>ROUND(D44*0.25+E44*0.25+F44*0.25+G44*0.25,1)</f>
        <v/>
      </c>
    </row>
    <row r="45">
      <c r="A45" s="8">
        <f>Raw_Data!A45</f>
        <v/>
      </c>
      <c r="B45" s="9">
        <f>Raw_Data!B45</f>
        <v/>
      </c>
      <c r="C45" s="9">
        <f>Raw_Data!C45</f>
        <v/>
      </c>
      <c r="D45" s="12" t="n">
        <v>95</v>
      </c>
      <c r="E45" s="12" t="n">
        <v>70</v>
      </c>
      <c r="F45" s="12" t="n">
        <v>65</v>
      </c>
      <c r="G45" s="12" t="n">
        <v>89</v>
      </c>
      <c r="H45" s="12">
        <f>ROUND(D45*0.25+E45*0.25+F45*0.25+G45*0.25,1)</f>
        <v/>
      </c>
    </row>
    <row r="46">
      <c r="A46" s="5">
        <f>Raw_Data!A46</f>
        <v/>
      </c>
      <c r="B46" s="6">
        <f>Raw_Data!B46</f>
        <v/>
      </c>
      <c r="C46" s="6">
        <f>Raw_Data!C46</f>
        <v/>
      </c>
      <c r="D46" s="11" t="n">
        <v>95</v>
      </c>
      <c r="E46" s="11" t="n">
        <v>83</v>
      </c>
      <c r="F46" s="11" t="n">
        <v>68</v>
      </c>
      <c r="G46" s="11" t="n">
        <v>90</v>
      </c>
      <c r="H46" s="11">
        <f>ROUND(D46*0.25+E46*0.25+F46*0.25+G46*0.25,1)</f>
        <v/>
      </c>
    </row>
    <row r="47">
      <c r="A47" s="8">
        <f>Raw_Data!A47</f>
        <v/>
      </c>
      <c r="B47" s="9">
        <f>Raw_Data!B47</f>
        <v/>
      </c>
      <c r="C47" s="9">
        <f>Raw_Data!C47</f>
        <v/>
      </c>
      <c r="D47" s="12" t="n">
        <v>64</v>
      </c>
      <c r="E47" s="12" t="n">
        <v>100</v>
      </c>
      <c r="F47" s="12" t="n">
        <v>76</v>
      </c>
      <c r="G47" s="12" t="n">
        <v>75</v>
      </c>
      <c r="H47" s="12">
        <f>ROUND(D47*0.25+E47*0.25+F47*0.25+G47*0.25,1)</f>
        <v/>
      </c>
    </row>
    <row r="48">
      <c r="A48" s="5">
        <f>Raw_Data!A48</f>
        <v/>
      </c>
      <c r="B48" s="6">
        <f>Raw_Data!B48</f>
        <v/>
      </c>
      <c r="C48" s="6">
        <f>Raw_Data!C48</f>
        <v/>
      </c>
      <c r="D48" s="11" t="n">
        <v>69</v>
      </c>
      <c r="E48" s="11" t="n">
        <v>100</v>
      </c>
      <c r="F48" s="11" t="n">
        <v>71</v>
      </c>
      <c r="G48" s="11" t="n">
        <v>64</v>
      </c>
      <c r="H48" s="11">
        <f>ROUND(D48*0.25+E48*0.25+F48*0.25+G48*0.25,1)</f>
        <v/>
      </c>
    </row>
    <row r="49">
      <c r="A49" s="8">
        <f>Raw_Data!A49</f>
        <v/>
      </c>
      <c r="B49" s="9">
        <f>Raw_Data!B49</f>
        <v/>
      </c>
      <c r="C49" s="9">
        <f>Raw_Data!C49</f>
        <v/>
      </c>
      <c r="D49" s="12" t="n">
        <v>84</v>
      </c>
      <c r="E49" s="12" t="n">
        <v>92</v>
      </c>
      <c r="F49" s="12" t="n">
        <v>59</v>
      </c>
      <c r="G49" s="12" t="n">
        <v>96</v>
      </c>
      <c r="H49" s="12">
        <f>ROUND(D49*0.25+E49*0.25+F49*0.25+G49*0.25,1)</f>
        <v/>
      </c>
    </row>
    <row r="50">
      <c r="A50" s="5">
        <f>Raw_Data!A50</f>
        <v/>
      </c>
      <c r="B50" s="6">
        <f>Raw_Data!B50</f>
        <v/>
      </c>
      <c r="C50" s="6">
        <f>Raw_Data!C50</f>
        <v/>
      </c>
      <c r="D50" s="11" t="n">
        <v>94</v>
      </c>
      <c r="E50" s="11" t="n">
        <v>93</v>
      </c>
      <c r="F50" s="11" t="n">
        <v>72</v>
      </c>
      <c r="G50" s="11" t="n">
        <v>91</v>
      </c>
      <c r="H50" s="11">
        <f>ROUND(D50*0.25+E50*0.25+F50*0.25+G50*0.25,1)</f>
        <v/>
      </c>
    </row>
    <row r="51">
      <c r="A51" s="8">
        <f>Raw_Data!A51</f>
        <v/>
      </c>
      <c r="B51" s="9">
        <f>Raw_Data!B51</f>
        <v/>
      </c>
      <c r="C51" s="9">
        <f>Raw_Data!C51</f>
        <v/>
      </c>
      <c r="D51" s="12" t="n">
        <v>85</v>
      </c>
      <c r="E51" s="12" t="n">
        <v>65</v>
      </c>
      <c r="F51" s="12" t="n">
        <v>87</v>
      </c>
      <c r="G51" s="12" t="n">
        <v>68</v>
      </c>
      <c r="H51" s="12">
        <f>ROUND(D51*0.25+E51*0.25+F51*0.25+G51*0.25,1)</f>
        <v/>
      </c>
    </row>
    <row r="52">
      <c r="A52" s="5">
        <f>Raw_Data!A52</f>
        <v/>
      </c>
      <c r="B52" s="6">
        <f>Raw_Data!B52</f>
        <v/>
      </c>
      <c r="C52" s="6">
        <f>Raw_Data!C52</f>
        <v/>
      </c>
      <c r="D52" s="11" t="n">
        <v>87</v>
      </c>
      <c r="E52" s="11" t="n">
        <v>63</v>
      </c>
      <c r="F52" s="11" t="n">
        <v>87</v>
      </c>
      <c r="G52" s="11" t="n">
        <v>71</v>
      </c>
      <c r="H52" s="11">
        <f>ROUND(D52*0.25+E52*0.25+F52*0.25+G52*0.25,1)</f>
        <v/>
      </c>
    </row>
    <row r="53">
      <c r="A53" s="8">
        <f>Raw_Data!A53</f>
        <v/>
      </c>
      <c r="B53" s="9">
        <f>Raw_Data!B53</f>
        <v/>
      </c>
      <c r="C53" s="9">
        <f>Raw_Data!C53</f>
        <v/>
      </c>
      <c r="D53" s="12" t="n">
        <v>84</v>
      </c>
      <c r="E53" s="12" t="n">
        <v>72</v>
      </c>
      <c r="F53" s="12" t="n">
        <v>84</v>
      </c>
      <c r="G53" s="12" t="n">
        <v>76</v>
      </c>
      <c r="H53" s="12">
        <f>ROUND(D53*0.25+E53*0.25+F53*0.25+G53*0.25,1)</f>
        <v/>
      </c>
    </row>
    <row r="54">
      <c r="A54" s="5">
        <f>Raw_Data!A54</f>
        <v/>
      </c>
      <c r="B54" s="6">
        <f>Raw_Data!B54</f>
        <v/>
      </c>
      <c r="C54" s="6">
        <f>Raw_Data!C54</f>
        <v/>
      </c>
      <c r="D54" s="11" t="n">
        <v>62</v>
      </c>
      <c r="E54" s="11" t="n">
        <v>56</v>
      </c>
      <c r="F54" s="11" t="n">
        <v>73</v>
      </c>
      <c r="G54" s="11" t="n">
        <v>72</v>
      </c>
      <c r="H54" s="11">
        <f>ROUND(D54*0.25+E54*0.25+F54*0.25+G54*0.25,1)</f>
        <v/>
      </c>
    </row>
    <row r="55">
      <c r="A55" s="8">
        <f>Raw_Data!A55</f>
        <v/>
      </c>
      <c r="B55" s="9">
        <f>Raw_Data!B55</f>
        <v/>
      </c>
      <c r="C55" s="9">
        <f>Raw_Data!C55</f>
        <v/>
      </c>
      <c r="D55" s="12" t="n">
        <v>89</v>
      </c>
      <c r="E55" s="12" t="n">
        <v>99</v>
      </c>
      <c r="F55" s="12" t="n">
        <v>74</v>
      </c>
      <c r="G55" s="12" t="n">
        <v>83</v>
      </c>
      <c r="H55" s="12">
        <f>ROUND(D55*0.25+E55*0.25+F55*0.25+G55*0.25,1)</f>
        <v/>
      </c>
    </row>
    <row r="56">
      <c r="A56" s="5">
        <f>Raw_Data!A56</f>
        <v/>
      </c>
      <c r="B56" s="6">
        <f>Raw_Data!B56</f>
        <v/>
      </c>
      <c r="C56" s="6">
        <f>Raw_Data!C56</f>
        <v/>
      </c>
      <c r="D56" s="11" t="n">
        <v>84</v>
      </c>
      <c r="E56" s="11" t="n">
        <v>80</v>
      </c>
      <c r="F56" s="11" t="n">
        <v>70</v>
      </c>
      <c r="G56" s="11" t="n">
        <v>64</v>
      </c>
      <c r="H56" s="11">
        <f>ROUND(D56*0.25+E56*0.25+F56*0.25+G56*0.25,1)</f>
        <v/>
      </c>
    </row>
    <row r="57">
      <c r="A57" s="8">
        <f>Raw_Data!A57</f>
        <v/>
      </c>
      <c r="B57" s="9">
        <f>Raw_Data!B57</f>
        <v/>
      </c>
      <c r="C57" s="9">
        <f>Raw_Data!C57</f>
        <v/>
      </c>
      <c r="D57" s="12" t="n">
        <v>82</v>
      </c>
      <c r="E57" s="12" t="n">
        <v>89</v>
      </c>
      <c r="F57" s="12" t="n">
        <v>85</v>
      </c>
      <c r="G57" s="12" t="n">
        <v>83</v>
      </c>
      <c r="H57" s="12">
        <f>ROUND(D57*0.25+E57*0.25+F57*0.25+G57*0.25,1)</f>
        <v/>
      </c>
    </row>
    <row r="58">
      <c r="A58" s="5">
        <f>Raw_Data!A58</f>
        <v/>
      </c>
      <c r="B58" s="6">
        <f>Raw_Data!B58</f>
        <v/>
      </c>
      <c r="C58" s="6">
        <f>Raw_Data!C58</f>
        <v/>
      </c>
      <c r="D58" s="11" t="n">
        <v>100</v>
      </c>
      <c r="E58" s="11" t="n">
        <v>84</v>
      </c>
      <c r="F58" s="11" t="n">
        <v>67</v>
      </c>
      <c r="G58" s="11" t="n">
        <v>87</v>
      </c>
      <c r="H58" s="11">
        <f>ROUND(D58*0.25+E58*0.25+F58*0.25+G58*0.25,1)</f>
        <v/>
      </c>
    </row>
    <row r="59">
      <c r="A59" s="8">
        <f>Raw_Data!A59</f>
        <v/>
      </c>
      <c r="B59" s="9">
        <f>Raw_Data!B59</f>
        <v/>
      </c>
      <c r="C59" s="9">
        <f>Raw_Data!C59</f>
        <v/>
      </c>
      <c r="D59" s="12" t="n">
        <v>75</v>
      </c>
      <c r="E59" s="12" t="n">
        <v>60</v>
      </c>
      <c r="F59" s="12" t="n">
        <v>75</v>
      </c>
      <c r="G59" s="12" t="n">
        <v>88</v>
      </c>
      <c r="H59" s="12">
        <f>ROUND(D59*0.25+E59*0.25+F59*0.25+G59*0.25,1)</f>
        <v/>
      </c>
    </row>
    <row r="60">
      <c r="A60" s="5">
        <f>Raw_Data!A60</f>
        <v/>
      </c>
      <c r="B60" s="6">
        <f>Raw_Data!B60</f>
        <v/>
      </c>
      <c r="C60" s="6">
        <f>Raw_Data!C60</f>
        <v/>
      </c>
      <c r="D60" s="11" t="n">
        <v>82</v>
      </c>
      <c r="E60" s="11" t="n">
        <v>71</v>
      </c>
      <c r="F60" s="11" t="n">
        <v>79</v>
      </c>
      <c r="G60" s="11" t="n">
        <v>77</v>
      </c>
      <c r="H60" s="11">
        <f>ROUND(D60*0.25+E60*0.25+F60*0.25+G60*0.25,1)</f>
        <v/>
      </c>
    </row>
    <row r="61">
      <c r="A61" s="8">
        <f>Raw_Data!A61</f>
        <v/>
      </c>
      <c r="B61" s="9">
        <f>Raw_Data!B61</f>
        <v/>
      </c>
      <c r="C61" s="9">
        <f>Raw_Data!C61</f>
        <v/>
      </c>
      <c r="D61" s="12" t="n">
        <v>86</v>
      </c>
      <c r="E61" s="12" t="n">
        <v>86</v>
      </c>
      <c r="F61" s="12" t="n">
        <v>93</v>
      </c>
      <c r="G61" s="12" t="n">
        <v>75</v>
      </c>
      <c r="H61" s="12">
        <f>ROUND(D61*0.25+E61*0.25+F61*0.25+G61*0.25,1)</f>
        <v/>
      </c>
    </row>
    <row r="62">
      <c r="A62" s="5">
        <f>Raw_Data!A62</f>
        <v/>
      </c>
      <c r="B62" s="6">
        <f>Raw_Data!B62</f>
        <v/>
      </c>
      <c r="C62" s="6">
        <f>Raw_Data!C62</f>
        <v/>
      </c>
      <c r="D62" s="11" t="n">
        <v>75</v>
      </c>
      <c r="E62" s="11" t="n">
        <v>74</v>
      </c>
      <c r="F62" s="11" t="n">
        <v>100</v>
      </c>
      <c r="G62" s="11" t="n">
        <v>97</v>
      </c>
      <c r="H62" s="11">
        <f>ROUND(D62*0.25+E62*0.25+F62*0.25+G62*0.25,1)</f>
        <v/>
      </c>
    </row>
    <row r="63">
      <c r="A63" s="8">
        <f>Raw_Data!A63</f>
        <v/>
      </c>
      <c r="B63" s="9">
        <f>Raw_Data!B63</f>
        <v/>
      </c>
      <c r="C63" s="9">
        <f>Raw_Data!C63</f>
        <v/>
      </c>
      <c r="D63" s="12" t="n">
        <v>89</v>
      </c>
      <c r="E63" s="12" t="n">
        <v>72</v>
      </c>
      <c r="F63" s="12" t="n">
        <v>77</v>
      </c>
      <c r="G63" s="12" t="n">
        <v>76</v>
      </c>
      <c r="H63" s="12">
        <f>ROUND(D63*0.25+E63*0.25+F63*0.25+G63*0.25,1)</f>
        <v/>
      </c>
    </row>
    <row r="64">
      <c r="A64" s="5">
        <f>Raw_Data!A64</f>
        <v/>
      </c>
      <c r="B64" s="6">
        <f>Raw_Data!B64</f>
        <v/>
      </c>
      <c r="C64" s="6">
        <f>Raw_Data!C64</f>
        <v/>
      </c>
      <c r="D64" s="11" t="n">
        <v>71</v>
      </c>
      <c r="E64" s="11" t="n">
        <v>67</v>
      </c>
      <c r="F64" s="11" t="n">
        <v>71</v>
      </c>
      <c r="G64" s="11" t="n">
        <v>90</v>
      </c>
      <c r="H64" s="11">
        <f>ROUND(D64*0.25+E64*0.25+F64*0.25+G64*0.25,1)</f>
        <v/>
      </c>
    </row>
    <row r="65">
      <c r="A65" s="8">
        <f>Raw_Data!A65</f>
        <v/>
      </c>
      <c r="B65" s="9">
        <f>Raw_Data!B65</f>
        <v/>
      </c>
      <c r="C65" s="9">
        <f>Raw_Data!C65</f>
        <v/>
      </c>
      <c r="D65" s="12" t="n">
        <v>71</v>
      </c>
      <c r="E65" s="12" t="n">
        <v>74</v>
      </c>
      <c r="F65" s="12" t="n">
        <v>58</v>
      </c>
      <c r="G65" s="12" t="n">
        <v>94</v>
      </c>
      <c r="H65" s="12">
        <f>ROUND(D65*0.25+E65*0.25+F65*0.25+G65*0.25,1)</f>
        <v/>
      </c>
    </row>
    <row r="66">
      <c r="A66" s="5">
        <f>Raw_Data!A66</f>
        <v/>
      </c>
      <c r="B66" s="6">
        <f>Raw_Data!B66</f>
        <v/>
      </c>
      <c r="C66" s="6">
        <f>Raw_Data!C66</f>
        <v/>
      </c>
      <c r="D66" s="11" t="n">
        <v>91</v>
      </c>
      <c r="E66" s="11" t="n">
        <v>61</v>
      </c>
      <c r="F66" s="11" t="n">
        <v>58</v>
      </c>
      <c r="G66" s="11" t="n">
        <v>96</v>
      </c>
      <c r="H66" s="11">
        <f>ROUND(D66*0.25+E66*0.25+F66*0.25+G66*0.25,1)</f>
        <v/>
      </c>
    </row>
    <row r="67">
      <c r="A67" s="8">
        <f>Raw_Data!A67</f>
        <v/>
      </c>
      <c r="B67" s="9">
        <f>Raw_Data!B67</f>
        <v/>
      </c>
      <c r="C67" s="9">
        <f>Raw_Data!C67</f>
        <v/>
      </c>
      <c r="D67" s="12" t="n">
        <v>90</v>
      </c>
      <c r="E67" s="12" t="n">
        <v>62</v>
      </c>
      <c r="F67" s="12" t="n">
        <v>62</v>
      </c>
      <c r="G67" s="12" t="n">
        <v>85</v>
      </c>
      <c r="H67" s="12">
        <f>ROUND(D67*0.25+E67*0.25+F67*0.25+G67*0.25,1)</f>
        <v/>
      </c>
    </row>
    <row r="68">
      <c r="A68" s="5">
        <f>Raw_Data!A68</f>
        <v/>
      </c>
      <c r="B68" s="6">
        <f>Raw_Data!B68</f>
        <v/>
      </c>
      <c r="C68" s="6">
        <f>Raw_Data!C68</f>
        <v/>
      </c>
      <c r="D68" s="11" t="n">
        <v>75</v>
      </c>
      <c r="E68" s="11" t="n">
        <v>62</v>
      </c>
      <c r="F68" s="11" t="n">
        <v>93</v>
      </c>
      <c r="G68" s="11" t="n">
        <v>86</v>
      </c>
      <c r="H68" s="11">
        <f>ROUND(D68*0.25+E68*0.25+F68*0.25+G68*0.25,1)</f>
        <v/>
      </c>
    </row>
    <row r="69">
      <c r="A69" s="8">
        <f>Raw_Data!A69</f>
        <v/>
      </c>
      <c r="B69" s="9">
        <f>Raw_Data!B69</f>
        <v/>
      </c>
      <c r="C69" s="9">
        <f>Raw_Data!C69</f>
        <v/>
      </c>
      <c r="D69" s="12" t="n">
        <v>79</v>
      </c>
      <c r="E69" s="12" t="n">
        <v>92</v>
      </c>
      <c r="F69" s="12" t="n">
        <v>85</v>
      </c>
      <c r="G69" s="12" t="n">
        <v>79</v>
      </c>
      <c r="H69" s="12">
        <f>ROUND(D69*0.25+E69*0.25+F69*0.25+G69*0.25,1)</f>
        <v/>
      </c>
    </row>
    <row r="70">
      <c r="A70" s="5">
        <f>Raw_Data!A70</f>
        <v/>
      </c>
      <c r="B70" s="6">
        <f>Raw_Data!B70</f>
        <v/>
      </c>
      <c r="C70" s="6">
        <f>Raw_Data!C70</f>
        <v/>
      </c>
      <c r="D70" s="11" t="n">
        <v>65</v>
      </c>
      <c r="E70" s="11" t="n">
        <v>65</v>
      </c>
      <c r="F70" s="11" t="n">
        <v>73</v>
      </c>
      <c r="G70" s="11" t="n">
        <v>71</v>
      </c>
      <c r="H70" s="11">
        <f>ROUND(D70*0.25+E70*0.25+F70*0.25+G70*0.25,1)</f>
        <v/>
      </c>
    </row>
    <row r="71">
      <c r="A71" s="8">
        <f>Raw_Data!A71</f>
        <v/>
      </c>
      <c r="B71" s="9">
        <f>Raw_Data!B71</f>
        <v/>
      </c>
      <c r="C71" s="9">
        <f>Raw_Data!C71</f>
        <v/>
      </c>
      <c r="D71" s="12" t="n">
        <v>62</v>
      </c>
      <c r="E71" s="12" t="n">
        <v>69</v>
      </c>
      <c r="F71" s="12" t="n">
        <v>76</v>
      </c>
      <c r="G71" s="12" t="n">
        <v>78</v>
      </c>
      <c r="H71" s="12">
        <f>ROUND(D71*0.25+E71*0.25+F71*0.25+G71*0.25,1)</f>
        <v/>
      </c>
    </row>
    <row r="72">
      <c r="A72" s="5">
        <f>Raw_Data!A72</f>
        <v/>
      </c>
      <c r="B72" s="6">
        <f>Raw_Data!B72</f>
        <v/>
      </c>
      <c r="C72" s="6">
        <f>Raw_Data!C72</f>
        <v/>
      </c>
      <c r="D72" s="11" t="n">
        <v>94</v>
      </c>
      <c r="E72" s="11" t="n">
        <v>69</v>
      </c>
      <c r="F72" s="11" t="n">
        <v>99</v>
      </c>
      <c r="G72" s="11" t="n">
        <v>69</v>
      </c>
      <c r="H72" s="11">
        <f>ROUND(D72*0.25+E72*0.25+F72*0.25+G72*0.25,1)</f>
        <v/>
      </c>
    </row>
    <row r="73">
      <c r="A73" s="8">
        <f>Raw_Data!A73</f>
        <v/>
      </c>
      <c r="B73" s="9">
        <f>Raw_Data!B73</f>
        <v/>
      </c>
      <c r="C73" s="9">
        <f>Raw_Data!C73</f>
        <v/>
      </c>
      <c r="D73" s="12" t="n">
        <v>96</v>
      </c>
      <c r="E73" s="12" t="n">
        <v>73</v>
      </c>
      <c r="F73" s="12" t="n">
        <v>86</v>
      </c>
      <c r="G73" s="12" t="n">
        <v>67</v>
      </c>
      <c r="H73" s="12">
        <f>ROUND(D73*0.25+E73*0.25+F73*0.25+G73*0.25,1)</f>
        <v/>
      </c>
    </row>
    <row r="74">
      <c r="A74" s="5">
        <f>Raw_Data!A74</f>
        <v/>
      </c>
      <c r="B74" s="6">
        <f>Raw_Data!B74</f>
        <v/>
      </c>
      <c r="C74" s="6">
        <f>Raw_Data!C74</f>
        <v/>
      </c>
      <c r="D74" s="11" t="n">
        <v>98</v>
      </c>
      <c r="E74" s="11" t="n">
        <v>57</v>
      </c>
      <c r="F74" s="11" t="n">
        <v>85</v>
      </c>
      <c r="G74" s="11" t="n">
        <v>80</v>
      </c>
      <c r="H74" s="11">
        <f>ROUND(D74*0.25+E74*0.25+F74*0.25+G74*0.25,1)</f>
        <v/>
      </c>
    </row>
    <row r="75">
      <c r="A75" s="8">
        <f>Raw_Data!A75</f>
        <v/>
      </c>
      <c r="B75" s="9">
        <f>Raw_Data!B75</f>
        <v/>
      </c>
      <c r="C75" s="9">
        <f>Raw_Data!C75</f>
        <v/>
      </c>
      <c r="D75" s="12" t="n">
        <v>77</v>
      </c>
      <c r="E75" s="12" t="n">
        <v>91</v>
      </c>
      <c r="F75" s="12" t="n">
        <v>60</v>
      </c>
      <c r="G75" s="12" t="n">
        <v>71</v>
      </c>
      <c r="H75" s="12">
        <f>ROUND(D75*0.25+E75*0.25+F75*0.25+G75*0.25,1)</f>
        <v/>
      </c>
    </row>
    <row r="76">
      <c r="A76" s="5">
        <f>Raw_Data!A76</f>
        <v/>
      </c>
      <c r="B76" s="6">
        <f>Raw_Data!B76</f>
        <v/>
      </c>
      <c r="C76" s="6">
        <f>Raw_Data!C76</f>
        <v/>
      </c>
      <c r="D76" s="11" t="n">
        <v>91</v>
      </c>
      <c r="E76" s="11" t="n">
        <v>60</v>
      </c>
      <c r="F76" s="11" t="n">
        <v>88</v>
      </c>
      <c r="G76" s="11" t="n">
        <v>82</v>
      </c>
      <c r="H76" s="11">
        <f>ROUND(D76*0.25+E76*0.25+F76*0.25+G76*0.25,1)</f>
        <v/>
      </c>
    </row>
    <row r="77">
      <c r="A77" s="8">
        <f>Raw_Data!A77</f>
        <v/>
      </c>
      <c r="B77" s="9">
        <f>Raw_Data!B77</f>
        <v/>
      </c>
      <c r="C77" s="9">
        <f>Raw_Data!C77</f>
        <v/>
      </c>
      <c r="D77" s="12" t="n">
        <v>95</v>
      </c>
      <c r="E77" s="12" t="n">
        <v>57</v>
      </c>
      <c r="F77" s="12" t="n">
        <v>87</v>
      </c>
      <c r="G77" s="12" t="n">
        <v>65</v>
      </c>
      <c r="H77" s="12">
        <f>ROUND(D77*0.25+E77*0.25+F77*0.25+G77*0.25,1)</f>
        <v/>
      </c>
    </row>
    <row r="78">
      <c r="A78" s="5">
        <f>Raw_Data!A78</f>
        <v/>
      </c>
      <c r="B78" s="6">
        <f>Raw_Data!B78</f>
        <v/>
      </c>
      <c r="C78" s="6">
        <f>Raw_Data!C78</f>
        <v/>
      </c>
      <c r="D78" s="11" t="n">
        <v>94</v>
      </c>
      <c r="E78" s="11" t="n">
        <v>84</v>
      </c>
      <c r="F78" s="11" t="n">
        <v>84</v>
      </c>
      <c r="G78" s="11" t="n">
        <v>63</v>
      </c>
      <c r="H78" s="11">
        <f>ROUND(D78*0.25+E78*0.25+F78*0.25+G78*0.25,1)</f>
        <v/>
      </c>
    </row>
    <row r="79">
      <c r="A79" s="8">
        <f>Raw_Data!A79</f>
        <v/>
      </c>
      <c r="B79" s="9">
        <f>Raw_Data!B79</f>
        <v/>
      </c>
      <c r="C79" s="9">
        <f>Raw_Data!C79</f>
        <v/>
      </c>
      <c r="D79" s="12" t="n">
        <v>68</v>
      </c>
      <c r="E79" s="12" t="n">
        <v>73</v>
      </c>
      <c r="F79" s="12" t="n">
        <v>86</v>
      </c>
      <c r="G79" s="12" t="n">
        <v>91</v>
      </c>
      <c r="H79" s="12">
        <f>ROUND(D79*0.25+E79*0.25+F79*0.25+G79*0.25,1)</f>
        <v/>
      </c>
    </row>
    <row r="80">
      <c r="A80" s="5">
        <f>Raw_Data!A80</f>
        <v/>
      </c>
      <c r="B80" s="6">
        <f>Raw_Data!B80</f>
        <v/>
      </c>
      <c r="C80" s="6">
        <f>Raw_Data!C80</f>
        <v/>
      </c>
      <c r="D80" s="11" t="n">
        <v>86</v>
      </c>
      <c r="E80" s="11" t="n">
        <v>60</v>
      </c>
      <c r="F80" s="11" t="n">
        <v>72</v>
      </c>
      <c r="G80" s="11" t="n">
        <v>67</v>
      </c>
      <c r="H80" s="11">
        <f>ROUND(D80*0.25+E80*0.25+F80*0.25+G80*0.25,1)</f>
        <v/>
      </c>
    </row>
    <row r="81">
      <c r="A81" s="8">
        <f>Raw_Data!A81</f>
        <v/>
      </c>
      <c r="B81" s="9">
        <f>Raw_Data!B81</f>
        <v/>
      </c>
      <c r="C81" s="9">
        <f>Raw_Data!C81</f>
        <v/>
      </c>
      <c r="D81" s="12" t="n">
        <v>90</v>
      </c>
      <c r="E81" s="12" t="n">
        <v>85</v>
      </c>
      <c r="F81" s="12" t="n">
        <v>73</v>
      </c>
      <c r="G81" s="12" t="n">
        <v>89</v>
      </c>
      <c r="H81" s="12">
        <f>ROUND(D81*0.25+E81*0.25+F81*0.25+G81*0.25,1)</f>
        <v/>
      </c>
    </row>
    <row r="82">
      <c r="A82" s="5">
        <f>Raw_Data!A82</f>
        <v/>
      </c>
      <c r="B82" s="6">
        <f>Raw_Data!B82</f>
        <v/>
      </c>
      <c r="C82" s="6">
        <f>Raw_Data!C82</f>
        <v/>
      </c>
      <c r="D82" s="11" t="n">
        <v>77</v>
      </c>
      <c r="E82" s="11" t="n">
        <v>81</v>
      </c>
      <c r="F82" s="11" t="n">
        <v>79</v>
      </c>
      <c r="G82" s="11" t="n">
        <v>92</v>
      </c>
      <c r="H82" s="11">
        <f>ROUND(D82*0.25+E82*0.25+F82*0.25+G82*0.25,1)</f>
        <v/>
      </c>
    </row>
    <row r="83">
      <c r="A83" s="8">
        <f>Raw_Data!A83</f>
        <v/>
      </c>
      <c r="B83" s="9">
        <f>Raw_Data!B83</f>
        <v/>
      </c>
      <c r="C83" s="9">
        <f>Raw_Data!C83</f>
        <v/>
      </c>
      <c r="D83" s="12" t="n">
        <v>88</v>
      </c>
      <c r="E83" s="12" t="n">
        <v>89</v>
      </c>
      <c r="F83" s="12" t="n">
        <v>88</v>
      </c>
      <c r="G83" s="12" t="n">
        <v>82</v>
      </c>
      <c r="H83" s="12">
        <f>ROUND(D83*0.25+E83*0.25+F83*0.25+G83*0.25,1)</f>
        <v/>
      </c>
    </row>
    <row r="84">
      <c r="A84" s="5">
        <f>Raw_Data!A84</f>
        <v/>
      </c>
      <c r="B84" s="6">
        <f>Raw_Data!B84</f>
        <v/>
      </c>
      <c r="C84" s="6">
        <f>Raw_Data!C84</f>
        <v/>
      </c>
      <c r="D84" s="11" t="n">
        <v>96</v>
      </c>
      <c r="E84" s="11" t="n">
        <v>79</v>
      </c>
      <c r="F84" s="11" t="n">
        <v>72</v>
      </c>
      <c r="G84" s="11" t="n">
        <v>86</v>
      </c>
      <c r="H84" s="11">
        <f>ROUND(D84*0.25+E84*0.25+F84*0.25+G84*0.25,1)</f>
        <v/>
      </c>
    </row>
    <row r="85">
      <c r="A85" s="8">
        <f>Raw_Data!A85</f>
        <v/>
      </c>
      <c r="B85" s="9">
        <f>Raw_Data!B85</f>
        <v/>
      </c>
      <c r="C85" s="9">
        <f>Raw_Data!C85</f>
        <v/>
      </c>
      <c r="D85" s="12" t="n">
        <v>68</v>
      </c>
      <c r="E85" s="12" t="n">
        <v>87</v>
      </c>
      <c r="F85" s="12" t="n">
        <v>95</v>
      </c>
      <c r="G85" s="12" t="n">
        <v>81</v>
      </c>
      <c r="H85" s="12">
        <f>ROUND(D85*0.25+E85*0.25+F85*0.25+G85*0.25,1)</f>
        <v/>
      </c>
    </row>
    <row r="86">
      <c r="A86" s="5">
        <f>Raw_Data!A86</f>
        <v/>
      </c>
      <c r="B86" s="6">
        <f>Raw_Data!B86</f>
        <v/>
      </c>
      <c r="C86" s="6">
        <f>Raw_Data!C86</f>
        <v/>
      </c>
      <c r="D86" s="11" t="n">
        <v>69</v>
      </c>
      <c r="E86" s="11" t="n">
        <v>59</v>
      </c>
      <c r="F86" s="11" t="n">
        <v>88</v>
      </c>
      <c r="G86" s="11" t="n">
        <v>76</v>
      </c>
      <c r="H86" s="11">
        <f>ROUND(D86*0.25+E86*0.25+F86*0.25+G86*0.25,1)</f>
        <v/>
      </c>
    </row>
    <row r="87">
      <c r="A87" s="8">
        <f>Raw_Data!A87</f>
        <v/>
      </c>
      <c r="B87" s="9">
        <f>Raw_Data!B87</f>
        <v/>
      </c>
      <c r="C87" s="9">
        <f>Raw_Data!C87</f>
        <v/>
      </c>
      <c r="D87" s="12" t="n">
        <v>100</v>
      </c>
      <c r="E87" s="12" t="n">
        <v>100</v>
      </c>
      <c r="F87" s="12" t="n">
        <v>89</v>
      </c>
      <c r="G87" s="12" t="n">
        <v>94</v>
      </c>
      <c r="H87" s="12">
        <f>ROUND(D87*0.25+E87*0.25+F87*0.25+G87*0.25,1)</f>
        <v/>
      </c>
    </row>
    <row r="88">
      <c r="A88" s="5">
        <f>Raw_Data!A88</f>
        <v/>
      </c>
      <c r="B88" s="6">
        <f>Raw_Data!B88</f>
        <v/>
      </c>
      <c r="C88" s="6">
        <f>Raw_Data!C88</f>
        <v/>
      </c>
      <c r="D88" s="11" t="n">
        <v>100</v>
      </c>
      <c r="E88" s="11" t="n">
        <v>100</v>
      </c>
      <c r="F88" s="11" t="n">
        <v>64</v>
      </c>
      <c r="G88" s="11" t="n">
        <v>88</v>
      </c>
      <c r="H88" s="11">
        <f>ROUND(D88*0.25+E88*0.25+F88*0.25+G88*0.25,1)</f>
        <v/>
      </c>
    </row>
    <row r="89">
      <c r="A89" s="8">
        <f>Raw_Data!A89</f>
        <v/>
      </c>
      <c r="B89" s="9">
        <f>Raw_Data!B89</f>
        <v/>
      </c>
      <c r="C89" s="9">
        <f>Raw_Data!C89</f>
        <v/>
      </c>
      <c r="D89" s="12" t="n">
        <v>87</v>
      </c>
      <c r="E89" s="12" t="n">
        <v>64</v>
      </c>
      <c r="F89" s="12" t="n">
        <v>73</v>
      </c>
      <c r="G89" s="12" t="n">
        <v>93</v>
      </c>
      <c r="H89" s="12">
        <f>ROUND(D89*0.25+E89*0.25+F89*0.25+G89*0.25,1)</f>
        <v/>
      </c>
    </row>
    <row r="90">
      <c r="A90" s="5">
        <f>Raw_Data!A90</f>
        <v/>
      </c>
      <c r="B90" s="6">
        <f>Raw_Data!B90</f>
        <v/>
      </c>
      <c r="C90" s="6">
        <f>Raw_Data!C90</f>
        <v/>
      </c>
      <c r="D90" s="11" t="n">
        <v>75</v>
      </c>
      <c r="E90" s="11" t="n">
        <v>86</v>
      </c>
      <c r="F90" s="11" t="n">
        <v>95</v>
      </c>
      <c r="G90" s="11" t="n">
        <v>69</v>
      </c>
      <c r="H90" s="11">
        <f>ROUND(D90*0.25+E90*0.25+F90*0.25+G90*0.25,1)</f>
        <v/>
      </c>
    </row>
    <row r="91">
      <c r="A91" s="8">
        <f>Raw_Data!A91</f>
        <v/>
      </c>
      <c r="B91" s="9">
        <f>Raw_Data!B91</f>
        <v/>
      </c>
      <c r="C91" s="9">
        <f>Raw_Data!C91</f>
        <v/>
      </c>
      <c r="D91" s="12" t="n">
        <v>89</v>
      </c>
      <c r="E91" s="12" t="n">
        <v>73</v>
      </c>
      <c r="F91" s="12" t="n">
        <v>92</v>
      </c>
      <c r="G91" s="12" t="n">
        <v>70</v>
      </c>
      <c r="H91" s="12">
        <f>ROUND(D91*0.25+E91*0.25+F91*0.25+G91*0.25,1)</f>
        <v/>
      </c>
    </row>
    <row r="92">
      <c r="A92" s="5">
        <f>Raw_Data!A92</f>
        <v/>
      </c>
      <c r="B92" s="6">
        <f>Raw_Data!B92</f>
        <v/>
      </c>
      <c r="C92" s="6">
        <f>Raw_Data!C92</f>
        <v/>
      </c>
      <c r="D92" s="11" t="n">
        <v>79</v>
      </c>
      <c r="E92" s="11" t="n">
        <v>67</v>
      </c>
      <c r="F92" s="11" t="n">
        <v>82</v>
      </c>
      <c r="G92" s="11" t="n">
        <v>90</v>
      </c>
      <c r="H92" s="11">
        <f>ROUND(D92*0.25+E92*0.25+F92*0.25+G92*0.25,1)</f>
        <v/>
      </c>
    </row>
    <row r="93">
      <c r="A93" s="8">
        <f>Raw_Data!A93</f>
        <v/>
      </c>
      <c r="B93" s="9">
        <f>Raw_Data!B93</f>
        <v/>
      </c>
      <c r="C93" s="9">
        <f>Raw_Data!C93</f>
        <v/>
      </c>
      <c r="D93" s="12" t="n">
        <v>85</v>
      </c>
      <c r="E93" s="12" t="n">
        <v>72</v>
      </c>
      <c r="F93" s="12" t="n">
        <v>58</v>
      </c>
      <c r="G93" s="12" t="n">
        <v>96</v>
      </c>
      <c r="H93" s="12">
        <f>ROUND(D93*0.25+E93*0.25+F93*0.25+G93*0.25,1)</f>
        <v/>
      </c>
    </row>
    <row r="94">
      <c r="A94" s="5">
        <f>Raw_Data!A94</f>
        <v/>
      </c>
      <c r="B94" s="6">
        <f>Raw_Data!B94</f>
        <v/>
      </c>
      <c r="C94" s="6">
        <f>Raw_Data!C94</f>
        <v/>
      </c>
      <c r="D94" s="11" t="n">
        <v>68</v>
      </c>
      <c r="E94" s="11" t="n">
        <v>95</v>
      </c>
      <c r="F94" s="11" t="n">
        <v>64</v>
      </c>
      <c r="G94" s="11" t="n">
        <v>100</v>
      </c>
      <c r="H94" s="11">
        <f>ROUND(D94*0.25+E94*0.25+F94*0.25+G94*0.25,1)</f>
        <v/>
      </c>
    </row>
    <row r="95">
      <c r="A95" s="8">
        <f>Raw_Data!A95</f>
        <v/>
      </c>
      <c r="B95" s="9">
        <f>Raw_Data!B95</f>
        <v/>
      </c>
      <c r="C95" s="9">
        <f>Raw_Data!C95</f>
        <v/>
      </c>
      <c r="D95" s="12" t="n">
        <v>80</v>
      </c>
      <c r="E95" s="12" t="n">
        <v>81</v>
      </c>
      <c r="F95" s="12" t="n">
        <v>69</v>
      </c>
      <c r="G95" s="12" t="n">
        <v>72</v>
      </c>
      <c r="H95" s="12">
        <f>ROUND(D95*0.25+E95*0.25+F95*0.25+G95*0.25,1)</f>
        <v/>
      </c>
    </row>
    <row r="96">
      <c r="A96" s="5">
        <f>Raw_Data!A96</f>
        <v/>
      </c>
      <c r="B96" s="6">
        <f>Raw_Data!B96</f>
        <v/>
      </c>
      <c r="C96" s="6">
        <f>Raw_Data!C96</f>
        <v/>
      </c>
      <c r="D96" s="11" t="n">
        <v>81</v>
      </c>
      <c r="E96" s="11" t="n">
        <v>62</v>
      </c>
      <c r="F96" s="11" t="n">
        <v>87</v>
      </c>
      <c r="G96" s="11" t="n">
        <v>64</v>
      </c>
      <c r="H96" s="11">
        <f>ROUND(D96*0.25+E96*0.25+F96*0.25+G96*0.25,1)</f>
        <v/>
      </c>
    </row>
    <row r="97">
      <c r="A97" s="8">
        <f>Raw_Data!A97</f>
        <v/>
      </c>
      <c r="B97" s="9">
        <f>Raw_Data!B97</f>
        <v/>
      </c>
      <c r="C97" s="9">
        <f>Raw_Data!C97</f>
        <v/>
      </c>
      <c r="D97" s="12" t="n">
        <v>67</v>
      </c>
      <c r="E97" s="12" t="n">
        <v>84</v>
      </c>
      <c r="F97" s="12" t="n">
        <v>81</v>
      </c>
      <c r="G97" s="12" t="n">
        <v>76</v>
      </c>
      <c r="H97" s="12">
        <f>ROUND(D97*0.25+E97*0.25+F97*0.25+G97*0.25,1)</f>
        <v/>
      </c>
    </row>
    <row r="98">
      <c r="A98" s="5">
        <f>Raw_Data!A98</f>
        <v/>
      </c>
      <c r="B98" s="6">
        <f>Raw_Data!B98</f>
        <v/>
      </c>
      <c r="C98" s="6">
        <f>Raw_Data!C98</f>
        <v/>
      </c>
      <c r="D98" s="11" t="n">
        <v>95</v>
      </c>
      <c r="E98" s="11" t="n">
        <v>75</v>
      </c>
      <c r="F98" s="11" t="n">
        <v>97</v>
      </c>
      <c r="G98" s="11" t="n">
        <v>74</v>
      </c>
      <c r="H98" s="11">
        <f>ROUND(D98*0.25+E98*0.25+F98*0.25+G98*0.25,1)</f>
        <v/>
      </c>
    </row>
    <row r="99">
      <c r="A99" s="8">
        <f>Raw_Data!A99</f>
        <v/>
      </c>
      <c r="B99" s="9">
        <f>Raw_Data!B99</f>
        <v/>
      </c>
      <c r="C99" s="9">
        <f>Raw_Data!C99</f>
        <v/>
      </c>
      <c r="D99" s="12" t="n">
        <v>91</v>
      </c>
      <c r="E99" s="12" t="n">
        <v>62</v>
      </c>
      <c r="F99" s="12" t="n">
        <v>64</v>
      </c>
      <c r="G99" s="12" t="n">
        <v>75</v>
      </c>
      <c r="H99" s="12">
        <f>ROUND(D99*0.25+E99*0.25+F99*0.25+G99*0.25,1)</f>
        <v/>
      </c>
    </row>
    <row r="100">
      <c r="A100" s="5">
        <f>Raw_Data!A100</f>
        <v/>
      </c>
      <c r="B100" s="6">
        <f>Raw_Data!B100</f>
        <v/>
      </c>
      <c r="C100" s="6">
        <f>Raw_Data!C100</f>
        <v/>
      </c>
      <c r="D100" s="11" t="n">
        <v>66</v>
      </c>
      <c r="E100" s="11" t="n">
        <v>86</v>
      </c>
      <c r="F100" s="11" t="n">
        <v>97</v>
      </c>
      <c r="G100" s="11" t="n">
        <v>86</v>
      </c>
      <c r="H100" s="11">
        <f>ROUND(D100*0.25+E100*0.25+F100*0.25+G100*0.25,1)</f>
        <v/>
      </c>
    </row>
    <row r="101">
      <c r="A101" s="8">
        <f>Raw_Data!A101</f>
        <v/>
      </c>
      <c r="B101" s="9">
        <f>Raw_Data!B101</f>
        <v/>
      </c>
      <c r="C101" s="9">
        <f>Raw_Data!C101</f>
        <v/>
      </c>
      <c r="D101" s="12" t="n">
        <v>66</v>
      </c>
      <c r="E101" s="12" t="n">
        <v>98</v>
      </c>
      <c r="F101" s="12" t="n">
        <v>81</v>
      </c>
      <c r="G101" s="12" t="n">
        <v>94</v>
      </c>
      <c r="H101" s="12">
        <f>ROUND(D101*0.25+E101*0.25+F101*0.25+G101*0.25,1)</f>
        <v/>
      </c>
    </row>
    <row r="102">
      <c r="A102" s="5">
        <f>Raw_Data!A102</f>
        <v/>
      </c>
      <c r="B102" s="6">
        <f>Raw_Data!B102</f>
        <v/>
      </c>
      <c r="C102" s="6">
        <f>Raw_Data!C102</f>
        <v/>
      </c>
      <c r="D102" s="11" t="n">
        <v>73</v>
      </c>
      <c r="E102" s="11" t="n">
        <v>96</v>
      </c>
      <c r="F102" s="11" t="n">
        <v>98</v>
      </c>
      <c r="G102" s="11" t="n">
        <v>98</v>
      </c>
      <c r="H102" s="11">
        <f>ROUND(D102*0.25+E102*0.25+F102*0.25+G102*0.25,1)</f>
        <v/>
      </c>
    </row>
    <row r="103">
      <c r="A103" s="8">
        <f>Raw_Data!A103</f>
        <v/>
      </c>
      <c r="B103" s="9">
        <f>Raw_Data!B103</f>
        <v/>
      </c>
      <c r="C103" s="9">
        <f>Raw_Data!C103</f>
        <v/>
      </c>
      <c r="D103" s="12" t="n">
        <v>95</v>
      </c>
      <c r="E103" s="12" t="n">
        <v>68</v>
      </c>
      <c r="F103" s="12" t="n">
        <v>95</v>
      </c>
      <c r="G103" s="12" t="n">
        <v>73</v>
      </c>
      <c r="H103" s="12">
        <f>ROUND(D103*0.25+E103*0.25+F103*0.25+G103*0.25,1)</f>
        <v/>
      </c>
    </row>
    <row r="104">
      <c r="A104" s="5">
        <f>Raw_Data!A104</f>
        <v/>
      </c>
      <c r="B104" s="6">
        <f>Raw_Data!B104</f>
        <v/>
      </c>
      <c r="C104" s="6">
        <f>Raw_Data!C104</f>
        <v/>
      </c>
      <c r="D104" s="11" t="n">
        <v>71</v>
      </c>
      <c r="E104" s="11" t="n">
        <v>62</v>
      </c>
      <c r="F104" s="11" t="n">
        <v>100</v>
      </c>
      <c r="G104" s="11" t="n">
        <v>61</v>
      </c>
      <c r="H104" s="11">
        <f>ROUND(D104*0.25+E104*0.25+F104*0.25+G104*0.25,1)</f>
        <v/>
      </c>
    </row>
    <row r="105">
      <c r="A105" s="8">
        <f>Raw_Data!A105</f>
        <v/>
      </c>
      <c r="B105" s="9">
        <f>Raw_Data!B105</f>
        <v/>
      </c>
      <c r="C105" s="9">
        <f>Raw_Data!C105</f>
        <v/>
      </c>
      <c r="D105" s="12" t="n">
        <v>63</v>
      </c>
      <c r="E105" s="12" t="n">
        <v>63</v>
      </c>
      <c r="F105" s="12" t="n">
        <v>84</v>
      </c>
      <c r="G105" s="12" t="n">
        <v>93</v>
      </c>
      <c r="H105" s="12">
        <f>ROUND(D105*0.25+E105*0.25+F105*0.25+G105*0.25,1)</f>
        <v/>
      </c>
    </row>
    <row r="106">
      <c r="A106" s="5">
        <f>Raw_Data!A106</f>
        <v/>
      </c>
      <c r="B106" s="6">
        <f>Raw_Data!B106</f>
        <v/>
      </c>
      <c r="C106" s="6">
        <f>Raw_Data!C106</f>
        <v/>
      </c>
      <c r="D106" s="11" t="n">
        <v>92</v>
      </c>
      <c r="E106" s="11" t="n">
        <v>69</v>
      </c>
      <c r="F106" s="11" t="n">
        <v>97</v>
      </c>
      <c r="G106" s="11" t="n">
        <v>62</v>
      </c>
      <c r="H106" s="11">
        <f>ROUND(D106*0.25+E106*0.25+F106*0.25+G106*0.25,1)</f>
        <v/>
      </c>
    </row>
    <row r="107">
      <c r="A107" s="8">
        <f>Raw_Data!A107</f>
        <v/>
      </c>
      <c r="B107" s="9">
        <f>Raw_Data!B107</f>
        <v/>
      </c>
      <c r="C107" s="9">
        <f>Raw_Data!C107</f>
        <v/>
      </c>
      <c r="D107" s="12" t="n">
        <v>66</v>
      </c>
      <c r="E107" s="12" t="n">
        <v>86</v>
      </c>
      <c r="F107" s="12" t="n">
        <v>86</v>
      </c>
      <c r="G107" s="12" t="n">
        <v>64</v>
      </c>
      <c r="H107" s="12">
        <f>ROUND(D107*0.25+E107*0.25+F107*0.25+G107*0.25,1)</f>
        <v/>
      </c>
    </row>
    <row r="108">
      <c r="A108" s="5">
        <f>Raw_Data!A108</f>
        <v/>
      </c>
      <c r="B108" s="6">
        <f>Raw_Data!B108</f>
        <v/>
      </c>
      <c r="C108" s="6">
        <f>Raw_Data!C108</f>
        <v/>
      </c>
      <c r="D108" s="11" t="n">
        <v>97</v>
      </c>
      <c r="E108" s="11" t="n">
        <v>90</v>
      </c>
      <c r="F108" s="11" t="n">
        <v>78</v>
      </c>
      <c r="G108" s="11" t="n">
        <v>84</v>
      </c>
      <c r="H108" s="11">
        <f>ROUND(D108*0.25+E108*0.25+F108*0.25+G108*0.25,1)</f>
        <v/>
      </c>
    </row>
    <row r="109">
      <c r="A109" s="8">
        <f>Raw_Data!A109</f>
        <v/>
      </c>
      <c r="B109" s="9">
        <f>Raw_Data!B109</f>
        <v/>
      </c>
      <c r="C109" s="9">
        <f>Raw_Data!C109</f>
        <v/>
      </c>
      <c r="D109" s="12" t="n">
        <v>67</v>
      </c>
      <c r="E109" s="12" t="n">
        <v>96</v>
      </c>
      <c r="F109" s="12" t="n">
        <v>99</v>
      </c>
      <c r="G109" s="12" t="n">
        <v>95</v>
      </c>
      <c r="H109" s="12">
        <f>ROUND(D109*0.25+E109*0.25+F109*0.25+G109*0.25,1)</f>
        <v/>
      </c>
    </row>
    <row r="110">
      <c r="A110" s="5">
        <f>Raw_Data!A110</f>
        <v/>
      </c>
      <c r="B110" s="6">
        <f>Raw_Data!B110</f>
        <v/>
      </c>
      <c r="C110" s="6">
        <f>Raw_Data!C110</f>
        <v/>
      </c>
      <c r="D110" s="11" t="n">
        <v>66</v>
      </c>
      <c r="E110" s="11" t="n">
        <v>75</v>
      </c>
      <c r="F110" s="11" t="n">
        <v>85</v>
      </c>
      <c r="G110" s="11" t="n">
        <v>80</v>
      </c>
      <c r="H110" s="11">
        <f>ROUND(D110*0.25+E110*0.25+F110*0.25+G110*0.25,1)</f>
        <v/>
      </c>
    </row>
    <row r="111">
      <c r="A111" s="8">
        <f>Raw_Data!A111</f>
        <v/>
      </c>
      <c r="B111" s="9">
        <f>Raw_Data!B111</f>
        <v/>
      </c>
      <c r="C111" s="9">
        <f>Raw_Data!C111</f>
        <v/>
      </c>
      <c r="D111" s="12" t="n">
        <v>66</v>
      </c>
      <c r="E111" s="12" t="n">
        <v>78</v>
      </c>
      <c r="F111" s="12" t="n">
        <v>66</v>
      </c>
      <c r="G111" s="12" t="n">
        <v>95</v>
      </c>
      <c r="H111" s="12">
        <f>ROUND(D111*0.25+E111*0.25+F111*0.25+G111*0.25,1)</f>
        <v/>
      </c>
    </row>
    <row r="112">
      <c r="A112" s="5">
        <f>Raw_Data!A112</f>
        <v/>
      </c>
      <c r="B112" s="6">
        <f>Raw_Data!B112</f>
        <v/>
      </c>
      <c r="C112" s="6">
        <f>Raw_Data!C112</f>
        <v/>
      </c>
      <c r="D112" s="11" t="n">
        <v>87</v>
      </c>
      <c r="E112" s="11" t="n">
        <v>58</v>
      </c>
      <c r="F112" s="11" t="n">
        <v>76</v>
      </c>
      <c r="G112" s="11" t="n">
        <v>98</v>
      </c>
      <c r="H112" s="11">
        <f>ROUND(D112*0.25+E112*0.25+F112*0.25+G112*0.25,1)</f>
        <v/>
      </c>
    </row>
    <row r="113">
      <c r="A113" s="8">
        <f>Raw_Data!A113</f>
        <v/>
      </c>
      <c r="B113" s="9">
        <f>Raw_Data!B113</f>
        <v/>
      </c>
      <c r="C113" s="9">
        <f>Raw_Data!C113</f>
        <v/>
      </c>
      <c r="D113" s="12" t="n">
        <v>66</v>
      </c>
      <c r="E113" s="12" t="n">
        <v>77</v>
      </c>
      <c r="F113" s="12" t="n">
        <v>93</v>
      </c>
      <c r="G113" s="12" t="n">
        <v>83</v>
      </c>
      <c r="H113" s="12">
        <f>ROUND(D113*0.25+E113*0.25+F113*0.25+G113*0.25,1)</f>
        <v/>
      </c>
    </row>
    <row r="114">
      <c r="A114" s="5">
        <f>Raw_Data!A114</f>
        <v/>
      </c>
      <c r="B114" s="6">
        <f>Raw_Data!B114</f>
        <v/>
      </c>
      <c r="C114" s="6">
        <f>Raw_Data!C114</f>
        <v/>
      </c>
      <c r="D114" s="11" t="n">
        <v>77</v>
      </c>
      <c r="E114" s="11" t="n">
        <v>56</v>
      </c>
      <c r="F114" s="11" t="n">
        <v>69</v>
      </c>
      <c r="G114" s="11" t="n">
        <v>77</v>
      </c>
      <c r="H114" s="11">
        <f>ROUND(D114*0.25+E114*0.25+F114*0.25+G114*0.25,1)</f>
        <v/>
      </c>
    </row>
    <row r="115">
      <c r="A115" s="8">
        <f>Raw_Data!A115</f>
        <v/>
      </c>
      <c r="B115" s="9">
        <f>Raw_Data!B115</f>
        <v/>
      </c>
      <c r="C115" s="9">
        <f>Raw_Data!C115</f>
        <v/>
      </c>
      <c r="D115" s="12" t="n">
        <v>64</v>
      </c>
      <c r="E115" s="12" t="n">
        <v>64</v>
      </c>
      <c r="F115" s="12" t="n">
        <v>98</v>
      </c>
      <c r="G115" s="12" t="n">
        <v>61</v>
      </c>
      <c r="H115" s="12">
        <f>ROUND(D115*0.25+E115*0.25+F115*0.25+G115*0.25,1)</f>
        <v/>
      </c>
    </row>
    <row r="116">
      <c r="A116" s="5">
        <f>Raw_Data!A116</f>
        <v/>
      </c>
      <c r="B116" s="6">
        <f>Raw_Data!B116</f>
        <v/>
      </c>
      <c r="C116" s="6">
        <f>Raw_Data!C116</f>
        <v/>
      </c>
      <c r="D116" s="11" t="n">
        <v>79</v>
      </c>
      <c r="E116" s="11" t="n">
        <v>75</v>
      </c>
      <c r="F116" s="11" t="n">
        <v>94</v>
      </c>
      <c r="G116" s="11" t="n">
        <v>98</v>
      </c>
      <c r="H116" s="11">
        <f>ROUND(D116*0.25+E116*0.25+F116*0.25+G116*0.25,1)</f>
        <v/>
      </c>
    </row>
    <row r="117">
      <c r="A117" s="8">
        <f>Raw_Data!A117</f>
        <v/>
      </c>
      <c r="B117" s="9">
        <f>Raw_Data!B117</f>
        <v/>
      </c>
      <c r="C117" s="9">
        <f>Raw_Data!C117</f>
        <v/>
      </c>
      <c r="D117" s="12" t="n">
        <v>87</v>
      </c>
      <c r="E117" s="12" t="n">
        <v>86</v>
      </c>
      <c r="F117" s="12" t="n">
        <v>96</v>
      </c>
      <c r="G117" s="12" t="n">
        <v>88</v>
      </c>
      <c r="H117" s="12">
        <f>ROUND(D117*0.25+E117*0.25+F117*0.25+G117*0.25,1)</f>
        <v/>
      </c>
    </row>
    <row r="118">
      <c r="A118" s="5">
        <f>Raw_Data!A118</f>
        <v/>
      </c>
      <c r="B118" s="6">
        <f>Raw_Data!B118</f>
        <v/>
      </c>
      <c r="C118" s="6">
        <f>Raw_Data!C118</f>
        <v/>
      </c>
      <c r="D118" s="11" t="n">
        <v>97</v>
      </c>
      <c r="E118" s="11" t="n">
        <v>86</v>
      </c>
      <c r="F118" s="11" t="n">
        <v>91</v>
      </c>
      <c r="G118" s="11" t="n">
        <v>79</v>
      </c>
      <c r="H118" s="11">
        <f>ROUND(D118*0.25+E118*0.25+F118*0.25+G118*0.25,1)</f>
        <v/>
      </c>
    </row>
    <row r="119">
      <c r="A119" s="8">
        <f>Raw_Data!A119</f>
        <v/>
      </c>
      <c r="B119" s="9">
        <f>Raw_Data!B119</f>
        <v/>
      </c>
      <c r="C119" s="9">
        <f>Raw_Data!C119</f>
        <v/>
      </c>
      <c r="D119" s="12" t="n">
        <v>68</v>
      </c>
      <c r="E119" s="12" t="n">
        <v>71</v>
      </c>
      <c r="F119" s="12" t="n">
        <v>76</v>
      </c>
      <c r="G119" s="12" t="n">
        <v>80</v>
      </c>
      <c r="H119" s="12">
        <f>ROUND(D119*0.25+E119*0.25+F119*0.25+G119*0.25,1)</f>
        <v/>
      </c>
    </row>
    <row r="120">
      <c r="A120" s="5">
        <f>Raw_Data!A120</f>
        <v/>
      </c>
      <c r="B120" s="6">
        <f>Raw_Data!B120</f>
        <v/>
      </c>
      <c r="C120" s="6">
        <f>Raw_Data!C120</f>
        <v/>
      </c>
      <c r="D120" s="11" t="n">
        <v>74</v>
      </c>
      <c r="E120" s="11" t="n">
        <v>87</v>
      </c>
      <c r="F120" s="11" t="n">
        <v>93</v>
      </c>
      <c r="G120" s="11" t="n">
        <v>82</v>
      </c>
      <c r="H120" s="11">
        <f>ROUND(D120*0.25+E120*0.25+F120*0.25+G120*0.25,1)</f>
        <v/>
      </c>
    </row>
    <row r="121">
      <c r="A121" s="8">
        <f>Raw_Data!A121</f>
        <v/>
      </c>
      <c r="B121" s="9">
        <f>Raw_Data!B121</f>
        <v/>
      </c>
      <c r="C121" s="9">
        <f>Raw_Data!C121</f>
        <v/>
      </c>
      <c r="D121" s="12" t="n">
        <v>96</v>
      </c>
      <c r="E121" s="12" t="n">
        <v>82</v>
      </c>
      <c r="F121" s="12" t="n">
        <v>94</v>
      </c>
      <c r="G121" s="12" t="n">
        <v>85</v>
      </c>
      <c r="H121" s="12">
        <f>ROUND(D121*0.25+E121*0.25+F121*0.25+G121*0.25,1)</f>
        <v/>
      </c>
    </row>
  </sheetData>
  <autoFilter ref="A1:H121"/>
  <conditionalFormatting sqref="H2:H121">
    <cfRule type="cellIs" priority="1" operator="greaterThanOrEqual" dxfId="2">
      <formula>90</formula>
    </cfRule>
    <cfRule type="cellIs" priority="2" operator="between" dxfId="4">
      <formula>75</formula>
      <formula>89.9</formula>
    </cfRule>
    <cfRule type="cellIs" priority="3" operator="lessThan" dxfId="1">
      <formula>75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8" customWidth="1" min="4" max="4"/>
  </cols>
  <sheetData>
    <row r="1">
      <c r="A1" s="4" t="inlineStr">
        <is>
          <t>Company Name</t>
        </is>
      </c>
      <c r="B1" s="4" t="inlineStr">
        <is>
          <t>Bid Price ($)</t>
        </is>
      </c>
      <c r="C1" s="4" t="inlineStr">
        <is>
          <t>Lowest Bid ($)</t>
        </is>
      </c>
      <c r="D1" s="4" t="inlineStr">
        <is>
          <t>Normalized Financial Score</t>
        </is>
      </c>
      <c r="I1" s="13" t="inlineStr">
        <is>
          <t>Lowest Bid (ref)</t>
        </is>
      </c>
    </row>
    <row r="2">
      <c r="A2" s="5">
        <f>Raw_Data!A2</f>
        <v/>
      </c>
      <c r="B2" s="7">
        <f>Raw_Data!H2</f>
        <v/>
      </c>
      <c r="C2" s="7">
        <f>$I$2</f>
        <v/>
      </c>
      <c r="D2" s="11">
        <f>IF(B2=0,0,ROUND(($I$2/B2)*100,1))</f>
        <v/>
      </c>
      <c r="I2" s="14">
        <f>MIN(Raw_Data!$H$2:$H$121)</f>
        <v/>
      </c>
    </row>
    <row r="3">
      <c r="A3" s="8">
        <f>Raw_Data!A3</f>
        <v/>
      </c>
      <c r="B3" s="10">
        <f>Raw_Data!H3</f>
        <v/>
      </c>
      <c r="C3" s="10">
        <f>$I$2</f>
        <v/>
      </c>
      <c r="D3" s="12">
        <f>IF(B3=0,0,ROUND(($I$2/B3)*100,1))</f>
        <v/>
      </c>
    </row>
    <row r="4">
      <c r="A4" s="5">
        <f>Raw_Data!A4</f>
        <v/>
      </c>
      <c r="B4" s="7">
        <f>Raw_Data!H4</f>
        <v/>
      </c>
      <c r="C4" s="7">
        <f>$I$2</f>
        <v/>
      </c>
      <c r="D4" s="11">
        <f>IF(B4=0,0,ROUND(($I$2/B4)*100,1))</f>
        <v/>
      </c>
    </row>
    <row r="5">
      <c r="A5" s="8">
        <f>Raw_Data!A5</f>
        <v/>
      </c>
      <c r="B5" s="10">
        <f>Raw_Data!H5</f>
        <v/>
      </c>
      <c r="C5" s="10">
        <f>$I$2</f>
        <v/>
      </c>
      <c r="D5" s="12">
        <f>IF(B5=0,0,ROUND(($I$2/B5)*100,1))</f>
        <v/>
      </c>
    </row>
    <row r="6">
      <c r="A6" s="5">
        <f>Raw_Data!A6</f>
        <v/>
      </c>
      <c r="B6" s="7">
        <f>Raw_Data!H6</f>
        <v/>
      </c>
      <c r="C6" s="7">
        <f>$I$2</f>
        <v/>
      </c>
      <c r="D6" s="11">
        <f>IF(B6=0,0,ROUND(($I$2/B6)*100,1))</f>
        <v/>
      </c>
    </row>
    <row r="7">
      <c r="A7" s="8">
        <f>Raw_Data!A7</f>
        <v/>
      </c>
      <c r="B7" s="10">
        <f>Raw_Data!H7</f>
        <v/>
      </c>
      <c r="C7" s="10">
        <f>$I$2</f>
        <v/>
      </c>
      <c r="D7" s="12">
        <f>IF(B7=0,0,ROUND(($I$2/B7)*100,1))</f>
        <v/>
      </c>
    </row>
    <row r="8">
      <c r="A8" s="5">
        <f>Raw_Data!A8</f>
        <v/>
      </c>
      <c r="B8" s="7">
        <f>Raw_Data!H8</f>
        <v/>
      </c>
      <c r="C8" s="7">
        <f>$I$2</f>
        <v/>
      </c>
      <c r="D8" s="11">
        <f>IF(B8=0,0,ROUND(($I$2/B8)*100,1))</f>
        <v/>
      </c>
    </row>
    <row r="9">
      <c r="A9" s="8">
        <f>Raw_Data!A9</f>
        <v/>
      </c>
      <c r="B9" s="10">
        <f>Raw_Data!H9</f>
        <v/>
      </c>
      <c r="C9" s="10">
        <f>$I$2</f>
        <v/>
      </c>
      <c r="D9" s="12">
        <f>IF(B9=0,0,ROUND(($I$2/B9)*100,1))</f>
        <v/>
      </c>
    </row>
    <row r="10">
      <c r="A10" s="5">
        <f>Raw_Data!A10</f>
        <v/>
      </c>
      <c r="B10" s="7">
        <f>Raw_Data!H10</f>
        <v/>
      </c>
      <c r="C10" s="7">
        <f>$I$2</f>
        <v/>
      </c>
      <c r="D10" s="11">
        <f>IF(B10=0,0,ROUND(($I$2/B10)*100,1))</f>
        <v/>
      </c>
    </row>
    <row r="11">
      <c r="A11" s="8">
        <f>Raw_Data!A11</f>
        <v/>
      </c>
      <c r="B11" s="10">
        <f>Raw_Data!H11</f>
        <v/>
      </c>
      <c r="C11" s="10">
        <f>$I$2</f>
        <v/>
      </c>
      <c r="D11" s="12">
        <f>IF(B11=0,0,ROUND(($I$2/B11)*100,1))</f>
        <v/>
      </c>
    </row>
    <row r="12">
      <c r="A12" s="5">
        <f>Raw_Data!A12</f>
        <v/>
      </c>
      <c r="B12" s="7">
        <f>Raw_Data!H12</f>
        <v/>
      </c>
      <c r="C12" s="7">
        <f>$I$2</f>
        <v/>
      </c>
      <c r="D12" s="11">
        <f>IF(B12=0,0,ROUND(($I$2/B12)*100,1))</f>
        <v/>
      </c>
    </row>
    <row r="13">
      <c r="A13" s="8">
        <f>Raw_Data!A13</f>
        <v/>
      </c>
      <c r="B13" s="10">
        <f>Raw_Data!H13</f>
        <v/>
      </c>
      <c r="C13" s="10">
        <f>$I$2</f>
        <v/>
      </c>
      <c r="D13" s="12">
        <f>IF(B13=0,0,ROUND(($I$2/B13)*100,1))</f>
        <v/>
      </c>
    </row>
    <row r="14">
      <c r="A14" s="5">
        <f>Raw_Data!A14</f>
        <v/>
      </c>
      <c r="B14" s="7">
        <f>Raw_Data!H14</f>
        <v/>
      </c>
      <c r="C14" s="7">
        <f>$I$2</f>
        <v/>
      </c>
      <c r="D14" s="11">
        <f>IF(B14=0,0,ROUND(($I$2/B14)*100,1))</f>
        <v/>
      </c>
    </row>
    <row r="15">
      <c r="A15" s="8">
        <f>Raw_Data!A15</f>
        <v/>
      </c>
      <c r="B15" s="10">
        <f>Raw_Data!H15</f>
        <v/>
      </c>
      <c r="C15" s="10">
        <f>$I$2</f>
        <v/>
      </c>
      <c r="D15" s="12">
        <f>IF(B15=0,0,ROUND(($I$2/B15)*100,1))</f>
        <v/>
      </c>
    </row>
    <row r="16">
      <c r="A16" s="5">
        <f>Raw_Data!A16</f>
        <v/>
      </c>
      <c r="B16" s="7">
        <f>Raw_Data!H16</f>
        <v/>
      </c>
      <c r="C16" s="7">
        <f>$I$2</f>
        <v/>
      </c>
      <c r="D16" s="11">
        <f>IF(B16=0,0,ROUND(($I$2/B16)*100,1))</f>
        <v/>
      </c>
    </row>
    <row r="17">
      <c r="A17" s="8">
        <f>Raw_Data!A17</f>
        <v/>
      </c>
      <c r="B17" s="10">
        <f>Raw_Data!H17</f>
        <v/>
      </c>
      <c r="C17" s="10">
        <f>$I$2</f>
        <v/>
      </c>
      <c r="D17" s="12">
        <f>IF(B17=0,0,ROUND(($I$2/B17)*100,1))</f>
        <v/>
      </c>
    </row>
    <row r="18">
      <c r="A18" s="5">
        <f>Raw_Data!A18</f>
        <v/>
      </c>
      <c r="B18" s="7">
        <f>Raw_Data!H18</f>
        <v/>
      </c>
      <c r="C18" s="7">
        <f>$I$2</f>
        <v/>
      </c>
      <c r="D18" s="11">
        <f>IF(B18=0,0,ROUND(($I$2/B18)*100,1))</f>
        <v/>
      </c>
    </row>
    <row r="19">
      <c r="A19" s="8">
        <f>Raw_Data!A19</f>
        <v/>
      </c>
      <c r="B19" s="10">
        <f>Raw_Data!H19</f>
        <v/>
      </c>
      <c r="C19" s="10">
        <f>$I$2</f>
        <v/>
      </c>
      <c r="D19" s="12">
        <f>IF(B19=0,0,ROUND(($I$2/B19)*100,1))</f>
        <v/>
      </c>
    </row>
    <row r="20">
      <c r="A20" s="5">
        <f>Raw_Data!A20</f>
        <v/>
      </c>
      <c r="B20" s="7">
        <f>Raw_Data!H20</f>
        <v/>
      </c>
      <c r="C20" s="7">
        <f>$I$2</f>
        <v/>
      </c>
      <c r="D20" s="11">
        <f>IF(B20=0,0,ROUND(($I$2/B20)*100,1))</f>
        <v/>
      </c>
    </row>
    <row r="21">
      <c r="A21" s="8">
        <f>Raw_Data!A21</f>
        <v/>
      </c>
      <c r="B21" s="10">
        <f>Raw_Data!H21</f>
        <v/>
      </c>
      <c r="C21" s="10">
        <f>$I$2</f>
        <v/>
      </c>
      <c r="D21" s="12">
        <f>IF(B21=0,0,ROUND(($I$2/B21)*100,1))</f>
        <v/>
      </c>
    </row>
    <row r="22">
      <c r="A22" s="5">
        <f>Raw_Data!A22</f>
        <v/>
      </c>
      <c r="B22" s="7">
        <f>Raw_Data!H22</f>
        <v/>
      </c>
      <c r="C22" s="7">
        <f>$I$2</f>
        <v/>
      </c>
      <c r="D22" s="11">
        <f>IF(B22=0,0,ROUND(($I$2/B22)*100,1))</f>
        <v/>
      </c>
    </row>
    <row r="23">
      <c r="A23" s="8">
        <f>Raw_Data!A23</f>
        <v/>
      </c>
      <c r="B23" s="10">
        <f>Raw_Data!H23</f>
        <v/>
      </c>
      <c r="C23" s="10">
        <f>$I$2</f>
        <v/>
      </c>
      <c r="D23" s="12">
        <f>IF(B23=0,0,ROUND(($I$2/B23)*100,1))</f>
        <v/>
      </c>
    </row>
    <row r="24">
      <c r="A24" s="5">
        <f>Raw_Data!A24</f>
        <v/>
      </c>
      <c r="B24" s="7">
        <f>Raw_Data!H24</f>
        <v/>
      </c>
      <c r="C24" s="7">
        <f>$I$2</f>
        <v/>
      </c>
      <c r="D24" s="11">
        <f>IF(B24=0,0,ROUND(($I$2/B24)*100,1))</f>
        <v/>
      </c>
    </row>
    <row r="25">
      <c r="A25" s="8">
        <f>Raw_Data!A25</f>
        <v/>
      </c>
      <c r="B25" s="10">
        <f>Raw_Data!H25</f>
        <v/>
      </c>
      <c r="C25" s="10">
        <f>$I$2</f>
        <v/>
      </c>
      <c r="D25" s="12">
        <f>IF(B25=0,0,ROUND(($I$2/B25)*100,1))</f>
        <v/>
      </c>
    </row>
    <row r="26">
      <c r="A26" s="5">
        <f>Raw_Data!A26</f>
        <v/>
      </c>
      <c r="B26" s="7">
        <f>Raw_Data!H26</f>
        <v/>
      </c>
      <c r="C26" s="7">
        <f>$I$2</f>
        <v/>
      </c>
      <c r="D26" s="11">
        <f>IF(B26=0,0,ROUND(($I$2/B26)*100,1))</f>
        <v/>
      </c>
    </row>
    <row r="27">
      <c r="A27" s="8">
        <f>Raw_Data!A27</f>
        <v/>
      </c>
      <c r="B27" s="10">
        <f>Raw_Data!H27</f>
        <v/>
      </c>
      <c r="C27" s="10">
        <f>$I$2</f>
        <v/>
      </c>
      <c r="D27" s="12">
        <f>IF(B27=0,0,ROUND(($I$2/B27)*100,1))</f>
        <v/>
      </c>
    </row>
    <row r="28">
      <c r="A28" s="5">
        <f>Raw_Data!A28</f>
        <v/>
      </c>
      <c r="B28" s="7">
        <f>Raw_Data!H28</f>
        <v/>
      </c>
      <c r="C28" s="7">
        <f>$I$2</f>
        <v/>
      </c>
      <c r="D28" s="11">
        <f>IF(B28=0,0,ROUND(($I$2/B28)*100,1))</f>
        <v/>
      </c>
    </row>
    <row r="29">
      <c r="A29" s="8">
        <f>Raw_Data!A29</f>
        <v/>
      </c>
      <c r="B29" s="10">
        <f>Raw_Data!H29</f>
        <v/>
      </c>
      <c r="C29" s="10">
        <f>$I$2</f>
        <v/>
      </c>
      <c r="D29" s="12">
        <f>IF(B29=0,0,ROUND(($I$2/B29)*100,1))</f>
        <v/>
      </c>
    </row>
    <row r="30">
      <c r="A30" s="5">
        <f>Raw_Data!A30</f>
        <v/>
      </c>
      <c r="B30" s="7">
        <f>Raw_Data!H30</f>
        <v/>
      </c>
      <c r="C30" s="7">
        <f>$I$2</f>
        <v/>
      </c>
      <c r="D30" s="11">
        <f>IF(B30=0,0,ROUND(($I$2/B30)*100,1))</f>
        <v/>
      </c>
    </row>
    <row r="31">
      <c r="A31" s="8">
        <f>Raw_Data!A31</f>
        <v/>
      </c>
      <c r="B31" s="10">
        <f>Raw_Data!H31</f>
        <v/>
      </c>
      <c r="C31" s="10">
        <f>$I$2</f>
        <v/>
      </c>
      <c r="D31" s="12">
        <f>IF(B31=0,0,ROUND(($I$2/B31)*100,1))</f>
        <v/>
      </c>
    </row>
    <row r="32">
      <c r="A32" s="5">
        <f>Raw_Data!A32</f>
        <v/>
      </c>
      <c r="B32" s="7">
        <f>Raw_Data!H32</f>
        <v/>
      </c>
      <c r="C32" s="7">
        <f>$I$2</f>
        <v/>
      </c>
      <c r="D32" s="11">
        <f>IF(B32=0,0,ROUND(($I$2/B32)*100,1))</f>
        <v/>
      </c>
    </row>
    <row r="33">
      <c r="A33" s="8">
        <f>Raw_Data!A33</f>
        <v/>
      </c>
      <c r="B33" s="10">
        <f>Raw_Data!H33</f>
        <v/>
      </c>
      <c r="C33" s="10">
        <f>$I$2</f>
        <v/>
      </c>
      <c r="D33" s="12">
        <f>IF(B33=0,0,ROUND(($I$2/B33)*100,1))</f>
        <v/>
      </c>
    </row>
    <row r="34">
      <c r="A34" s="5">
        <f>Raw_Data!A34</f>
        <v/>
      </c>
      <c r="B34" s="7">
        <f>Raw_Data!H34</f>
        <v/>
      </c>
      <c r="C34" s="7">
        <f>$I$2</f>
        <v/>
      </c>
      <c r="D34" s="11">
        <f>IF(B34=0,0,ROUND(($I$2/B34)*100,1))</f>
        <v/>
      </c>
    </row>
    <row r="35">
      <c r="A35" s="8">
        <f>Raw_Data!A35</f>
        <v/>
      </c>
      <c r="B35" s="10">
        <f>Raw_Data!H35</f>
        <v/>
      </c>
      <c r="C35" s="10">
        <f>$I$2</f>
        <v/>
      </c>
      <c r="D35" s="12">
        <f>IF(B35=0,0,ROUND(($I$2/B35)*100,1))</f>
        <v/>
      </c>
    </row>
    <row r="36">
      <c r="A36" s="5">
        <f>Raw_Data!A36</f>
        <v/>
      </c>
      <c r="B36" s="7">
        <f>Raw_Data!H36</f>
        <v/>
      </c>
      <c r="C36" s="7">
        <f>$I$2</f>
        <v/>
      </c>
      <c r="D36" s="11">
        <f>IF(B36=0,0,ROUND(($I$2/B36)*100,1))</f>
        <v/>
      </c>
    </row>
    <row r="37">
      <c r="A37" s="8">
        <f>Raw_Data!A37</f>
        <v/>
      </c>
      <c r="B37" s="10">
        <f>Raw_Data!H37</f>
        <v/>
      </c>
      <c r="C37" s="10">
        <f>$I$2</f>
        <v/>
      </c>
      <c r="D37" s="12">
        <f>IF(B37=0,0,ROUND(($I$2/B37)*100,1))</f>
        <v/>
      </c>
    </row>
    <row r="38">
      <c r="A38" s="5">
        <f>Raw_Data!A38</f>
        <v/>
      </c>
      <c r="B38" s="7">
        <f>Raw_Data!H38</f>
        <v/>
      </c>
      <c r="C38" s="7">
        <f>$I$2</f>
        <v/>
      </c>
      <c r="D38" s="11">
        <f>IF(B38=0,0,ROUND(($I$2/B38)*100,1))</f>
        <v/>
      </c>
    </row>
    <row r="39">
      <c r="A39" s="8">
        <f>Raw_Data!A39</f>
        <v/>
      </c>
      <c r="B39" s="10">
        <f>Raw_Data!H39</f>
        <v/>
      </c>
      <c r="C39" s="10">
        <f>$I$2</f>
        <v/>
      </c>
      <c r="D39" s="12">
        <f>IF(B39=0,0,ROUND(($I$2/B39)*100,1))</f>
        <v/>
      </c>
    </row>
    <row r="40">
      <c r="A40" s="5">
        <f>Raw_Data!A40</f>
        <v/>
      </c>
      <c r="B40" s="7">
        <f>Raw_Data!H40</f>
        <v/>
      </c>
      <c r="C40" s="7">
        <f>$I$2</f>
        <v/>
      </c>
      <c r="D40" s="11">
        <f>IF(B40=0,0,ROUND(($I$2/B40)*100,1))</f>
        <v/>
      </c>
    </row>
    <row r="41">
      <c r="A41" s="8">
        <f>Raw_Data!A41</f>
        <v/>
      </c>
      <c r="B41" s="10">
        <f>Raw_Data!H41</f>
        <v/>
      </c>
      <c r="C41" s="10">
        <f>$I$2</f>
        <v/>
      </c>
      <c r="D41" s="12">
        <f>IF(B41=0,0,ROUND(($I$2/B41)*100,1))</f>
        <v/>
      </c>
    </row>
    <row r="42">
      <c r="A42" s="5">
        <f>Raw_Data!A42</f>
        <v/>
      </c>
      <c r="B42" s="7">
        <f>Raw_Data!H42</f>
        <v/>
      </c>
      <c r="C42" s="7">
        <f>$I$2</f>
        <v/>
      </c>
      <c r="D42" s="11">
        <f>IF(B42=0,0,ROUND(($I$2/B42)*100,1))</f>
        <v/>
      </c>
    </row>
    <row r="43">
      <c r="A43" s="8">
        <f>Raw_Data!A43</f>
        <v/>
      </c>
      <c r="B43" s="10">
        <f>Raw_Data!H43</f>
        <v/>
      </c>
      <c r="C43" s="10">
        <f>$I$2</f>
        <v/>
      </c>
      <c r="D43" s="12">
        <f>IF(B43=0,0,ROUND(($I$2/B43)*100,1))</f>
        <v/>
      </c>
    </row>
    <row r="44">
      <c r="A44" s="5">
        <f>Raw_Data!A44</f>
        <v/>
      </c>
      <c r="B44" s="7">
        <f>Raw_Data!H44</f>
        <v/>
      </c>
      <c r="C44" s="7">
        <f>$I$2</f>
        <v/>
      </c>
      <c r="D44" s="11">
        <f>IF(B44=0,0,ROUND(($I$2/B44)*100,1))</f>
        <v/>
      </c>
    </row>
    <row r="45">
      <c r="A45" s="8">
        <f>Raw_Data!A45</f>
        <v/>
      </c>
      <c r="B45" s="10">
        <f>Raw_Data!H45</f>
        <v/>
      </c>
      <c r="C45" s="10">
        <f>$I$2</f>
        <v/>
      </c>
      <c r="D45" s="12">
        <f>IF(B45=0,0,ROUND(($I$2/B45)*100,1))</f>
        <v/>
      </c>
    </row>
    <row r="46">
      <c r="A46" s="5">
        <f>Raw_Data!A46</f>
        <v/>
      </c>
      <c r="B46" s="7">
        <f>Raw_Data!H46</f>
        <v/>
      </c>
      <c r="C46" s="7">
        <f>$I$2</f>
        <v/>
      </c>
      <c r="D46" s="11">
        <f>IF(B46=0,0,ROUND(($I$2/B46)*100,1))</f>
        <v/>
      </c>
    </row>
    <row r="47">
      <c r="A47" s="8">
        <f>Raw_Data!A47</f>
        <v/>
      </c>
      <c r="B47" s="10">
        <f>Raw_Data!H47</f>
        <v/>
      </c>
      <c r="C47" s="10">
        <f>$I$2</f>
        <v/>
      </c>
      <c r="D47" s="12">
        <f>IF(B47=0,0,ROUND(($I$2/B47)*100,1))</f>
        <v/>
      </c>
    </row>
    <row r="48">
      <c r="A48" s="5">
        <f>Raw_Data!A48</f>
        <v/>
      </c>
      <c r="B48" s="7">
        <f>Raw_Data!H48</f>
        <v/>
      </c>
      <c r="C48" s="7">
        <f>$I$2</f>
        <v/>
      </c>
      <c r="D48" s="11">
        <f>IF(B48=0,0,ROUND(($I$2/B48)*100,1))</f>
        <v/>
      </c>
    </row>
    <row r="49">
      <c r="A49" s="8">
        <f>Raw_Data!A49</f>
        <v/>
      </c>
      <c r="B49" s="10">
        <f>Raw_Data!H49</f>
        <v/>
      </c>
      <c r="C49" s="10">
        <f>$I$2</f>
        <v/>
      </c>
      <c r="D49" s="12">
        <f>IF(B49=0,0,ROUND(($I$2/B49)*100,1))</f>
        <v/>
      </c>
    </row>
    <row r="50">
      <c r="A50" s="5">
        <f>Raw_Data!A50</f>
        <v/>
      </c>
      <c r="B50" s="7">
        <f>Raw_Data!H50</f>
        <v/>
      </c>
      <c r="C50" s="7">
        <f>$I$2</f>
        <v/>
      </c>
      <c r="D50" s="11">
        <f>IF(B50=0,0,ROUND(($I$2/B50)*100,1))</f>
        <v/>
      </c>
    </row>
    <row r="51">
      <c r="A51" s="8">
        <f>Raw_Data!A51</f>
        <v/>
      </c>
      <c r="B51" s="10">
        <f>Raw_Data!H51</f>
        <v/>
      </c>
      <c r="C51" s="10">
        <f>$I$2</f>
        <v/>
      </c>
      <c r="D51" s="12">
        <f>IF(B51=0,0,ROUND(($I$2/B51)*100,1))</f>
        <v/>
      </c>
    </row>
    <row r="52">
      <c r="A52" s="5">
        <f>Raw_Data!A52</f>
        <v/>
      </c>
      <c r="B52" s="7">
        <f>Raw_Data!H52</f>
        <v/>
      </c>
      <c r="C52" s="7">
        <f>$I$2</f>
        <v/>
      </c>
      <c r="D52" s="11">
        <f>IF(B52=0,0,ROUND(($I$2/B52)*100,1))</f>
        <v/>
      </c>
    </row>
    <row r="53">
      <c r="A53" s="8">
        <f>Raw_Data!A53</f>
        <v/>
      </c>
      <c r="B53" s="10">
        <f>Raw_Data!H53</f>
        <v/>
      </c>
      <c r="C53" s="10">
        <f>$I$2</f>
        <v/>
      </c>
      <c r="D53" s="12">
        <f>IF(B53=0,0,ROUND(($I$2/B53)*100,1))</f>
        <v/>
      </c>
    </row>
    <row r="54">
      <c r="A54" s="5">
        <f>Raw_Data!A54</f>
        <v/>
      </c>
      <c r="B54" s="7">
        <f>Raw_Data!H54</f>
        <v/>
      </c>
      <c r="C54" s="7">
        <f>$I$2</f>
        <v/>
      </c>
      <c r="D54" s="11">
        <f>IF(B54=0,0,ROUND(($I$2/B54)*100,1))</f>
        <v/>
      </c>
    </row>
    <row r="55">
      <c r="A55" s="8">
        <f>Raw_Data!A55</f>
        <v/>
      </c>
      <c r="B55" s="10">
        <f>Raw_Data!H55</f>
        <v/>
      </c>
      <c r="C55" s="10">
        <f>$I$2</f>
        <v/>
      </c>
      <c r="D55" s="12">
        <f>IF(B55=0,0,ROUND(($I$2/B55)*100,1))</f>
        <v/>
      </c>
    </row>
    <row r="56">
      <c r="A56" s="5">
        <f>Raw_Data!A56</f>
        <v/>
      </c>
      <c r="B56" s="7">
        <f>Raw_Data!H56</f>
        <v/>
      </c>
      <c r="C56" s="7">
        <f>$I$2</f>
        <v/>
      </c>
      <c r="D56" s="11">
        <f>IF(B56=0,0,ROUND(($I$2/B56)*100,1))</f>
        <v/>
      </c>
    </row>
    <row r="57">
      <c r="A57" s="8">
        <f>Raw_Data!A57</f>
        <v/>
      </c>
      <c r="B57" s="10">
        <f>Raw_Data!H57</f>
        <v/>
      </c>
      <c r="C57" s="10">
        <f>$I$2</f>
        <v/>
      </c>
      <c r="D57" s="12">
        <f>IF(B57=0,0,ROUND(($I$2/B57)*100,1))</f>
        <v/>
      </c>
    </row>
    <row r="58">
      <c r="A58" s="5">
        <f>Raw_Data!A58</f>
        <v/>
      </c>
      <c r="B58" s="7">
        <f>Raw_Data!H58</f>
        <v/>
      </c>
      <c r="C58" s="7">
        <f>$I$2</f>
        <v/>
      </c>
      <c r="D58" s="11">
        <f>IF(B58=0,0,ROUND(($I$2/B58)*100,1))</f>
        <v/>
      </c>
    </row>
    <row r="59">
      <c r="A59" s="8">
        <f>Raw_Data!A59</f>
        <v/>
      </c>
      <c r="B59" s="10">
        <f>Raw_Data!H59</f>
        <v/>
      </c>
      <c r="C59" s="10">
        <f>$I$2</f>
        <v/>
      </c>
      <c r="D59" s="12">
        <f>IF(B59=0,0,ROUND(($I$2/B59)*100,1))</f>
        <v/>
      </c>
    </row>
    <row r="60">
      <c r="A60" s="5">
        <f>Raw_Data!A60</f>
        <v/>
      </c>
      <c r="B60" s="7">
        <f>Raw_Data!H60</f>
        <v/>
      </c>
      <c r="C60" s="7">
        <f>$I$2</f>
        <v/>
      </c>
      <c r="D60" s="11">
        <f>IF(B60=0,0,ROUND(($I$2/B60)*100,1))</f>
        <v/>
      </c>
    </row>
    <row r="61">
      <c r="A61" s="8">
        <f>Raw_Data!A61</f>
        <v/>
      </c>
      <c r="B61" s="10">
        <f>Raw_Data!H61</f>
        <v/>
      </c>
      <c r="C61" s="10">
        <f>$I$2</f>
        <v/>
      </c>
      <c r="D61" s="12">
        <f>IF(B61=0,0,ROUND(($I$2/B61)*100,1))</f>
        <v/>
      </c>
    </row>
    <row r="62">
      <c r="A62" s="5">
        <f>Raw_Data!A62</f>
        <v/>
      </c>
      <c r="B62" s="7">
        <f>Raw_Data!H62</f>
        <v/>
      </c>
      <c r="C62" s="7">
        <f>$I$2</f>
        <v/>
      </c>
      <c r="D62" s="11">
        <f>IF(B62=0,0,ROUND(($I$2/B62)*100,1))</f>
        <v/>
      </c>
    </row>
    <row r="63">
      <c r="A63" s="8">
        <f>Raw_Data!A63</f>
        <v/>
      </c>
      <c r="B63" s="10">
        <f>Raw_Data!H63</f>
        <v/>
      </c>
      <c r="C63" s="10">
        <f>$I$2</f>
        <v/>
      </c>
      <c r="D63" s="12">
        <f>IF(B63=0,0,ROUND(($I$2/B63)*100,1))</f>
        <v/>
      </c>
    </row>
    <row r="64">
      <c r="A64" s="5">
        <f>Raw_Data!A64</f>
        <v/>
      </c>
      <c r="B64" s="7">
        <f>Raw_Data!H64</f>
        <v/>
      </c>
      <c r="C64" s="7">
        <f>$I$2</f>
        <v/>
      </c>
      <c r="D64" s="11">
        <f>IF(B64=0,0,ROUND(($I$2/B64)*100,1))</f>
        <v/>
      </c>
    </row>
    <row r="65">
      <c r="A65" s="8">
        <f>Raw_Data!A65</f>
        <v/>
      </c>
      <c r="B65" s="10">
        <f>Raw_Data!H65</f>
        <v/>
      </c>
      <c r="C65" s="10">
        <f>$I$2</f>
        <v/>
      </c>
      <c r="D65" s="12">
        <f>IF(B65=0,0,ROUND(($I$2/B65)*100,1))</f>
        <v/>
      </c>
    </row>
    <row r="66">
      <c r="A66" s="5">
        <f>Raw_Data!A66</f>
        <v/>
      </c>
      <c r="B66" s="7">
        <f>Raw_Data!H66</f>
        <v/>
      </c>
      <c r="C66" s="7">
        <f>$I$2</f>
        <v/>
      </c>
      <c r="D66" s="11">
        <f>IF(B66=0,0,ROUND(($I$2/B66)*100,1))</f>
        <v/>
      </c>
    </row>
    <row r="67">
      <c r="A67" s="8">
        <f>Raw_Data!A67</f>
        <v/>
      </c>
      <c r="B67" s="10">
        <f>Raw_Data!H67</f>
        <v/>
      </c>
      <c r="C67" s="10">
        <f>$I$2</f>
        <v/>
      </c>
      <c r="D67" s="12">
        <f>IF(B67=0,0,ROUND(($I$2/B67)*100,1))</f>
        <v/>
      </c>
    </row>
    <row r="68">
      <c r="A68" s="5">
        <f>Raw_Data!A68</f>
        <v/>
      </c>
      <c r="B68" s="7">
        <f>Raw_Data!H68</f>
        <v/>
      </c>
      <c r="C68" s="7">
        <f>$I$2</f>
        <v/>
      </c>
      <c r="D68" s="11">
        <f>IF(B68=0,0,ROUND(($I$2/B68)*100,1))</f>
        <v/>
      </c>
    </row>
    <row r="69">
      <c r="A69" s="8">
        <f>Raw_Data!A69</f>
        <v/>
      </c>
      <c r="B69" s="10">
        <f>Raw_Data!H69</f>
        <v/>
      </c>
      <c r="C69" s="10">
        <f>$I$2</f>
        <v/>
      </c>
      <c r="D69" s="12">
        <f>IF(B69=0,0,ROUND(($I$2/B69)*100,1))</f>
        <v/>
      </c>
    </row>
    <row r="70">
      <c r="A70" s="5">
        <f>Raw_Data!A70</f>
        <v/>
      </c>
      <c r="B70" s="7">
        <f>Raw_Data!H70</f>
        <v/>
      </c>
      <c r="C70" s="7">
        <f>$I$2</f>
        <v/>
      </c>
      <c r="D70" s="11">
        <f>IF(B70=0,0,ROUND(($I$2/B70)*100,1))</f>
        <v/>
      </c>
    </row>
    <row r="71">
      <c r="A71" s="8">
        <f>Raw_Data!A71</f>
        <v/>
      </c>
      <c r="B71" s="10">
        <f>Raw_Data!H71</f>
        <v/>
      </c>
      <c r="C71" s="10">
        <f>$I$2</f>
        <v/>
      </c>
      <c r="D71" s="12">
        <f>IF(B71=0,0,ROUND(($I$2/B71)*100,1))</f>
        <v/>
      </c>
    </row>
    <row r="72">
      <c r="A72" s="5">
        <f>Raw_Data!A72</f>
        <v/>
      </c>
      <c r="B72" s="7">
        <f>Raw_Data!H72</f>
        <v/>
      </c>
      <c r="C72" s="7">
        <f>$I$2</f>
        <v/>
      </c>
      <c r="D72" s="11">
        <f>IF(B72=0,0,ROUND(($I$2/B72)*100,1))</f>
        <v/>
      </c>
    </row>
    <row r="73">
      <c r="A73" s="8">
        <f>Raw_Data!A73</f>
        <v/>
      </c>
      <c r="B73" s="10">
        <f>Raw_Data!H73</f>
        <v/>
      </c>
      <c r="C73" s="10">
        <f>$I$2</f>
        <v/>
      </c>
      <c r="D73" s="12">
        <f>IF(B73=0,0,ROUND(($I$2/B73)*100,1))</f>
        <v/>
      </c>
    </row>
    <row r="74">
      <c r="A74" s="5">
        <f>Raw_Data!A74</f>
        <v/>
      </c>
      <c r="B74" s="7">
        <f>Raw_Data!H74</f>
        <v/>
      </c>
      <c r="C74" s="7">
        <f>$I$2</f>
        <v/>
      </c>
      <c r="D74" s="11">
        <f>IF(B74=0,0,ROUND(($I$2/B74)*100,1))</f>
        <v/>
      </c>
    </row>
    <row r="75">
      <c r="A75" s="8">
        <f>Raw_Data!A75</f>
        <v/>
      </c>
      <c r="B75" s="10">
        <f>Raw_Data!H75</f>
        <v/>
      </c>
      <c r="C75" s="10">
        <f>$I$2</f>
        <v/>
      </c>
      <c r="D75" s="12">
        <f>IF(B75=0,0,ROUND(($I$2/B75)*100,1))</f>
        <v/>
      </c>
    </row>
    <row r="76">
      <c r="A76" s="5">
        <f>Raw_Data!A76</f>
        <v/>
      </c>
      <c r="B76" s="7">
        <f>Raw_Data!H76</f>
        <v/>
      </c>
      <c r="C76" s="7">
        <f>$I$2</f>
        <v/>
      </c>
      <c r="D76" s="11">
        <f>IF(B76=0,0,ROUND(($I$2/B76)*100,1))</f>
        <v/>
      </c>
    </row>
    <row r="77">
      <c r="A77" s="8">
        <f>Raw_Data!A77</f>
        <v/>
      </c>
      <c r="B77" s="10">
        <f>Raw_Data!H77</f>
        <v/>
      </c>
      <c r="C77" s="10">
        <f>$I$2</f>
        <v/>
      </c>
      <c r="D77" s="12">
        <f>IF(B77=0,0,ROUND(($I$2/B77)*100,1))</f>
        <v/>
      </c>
    </row>
    <row r="78">
      <c r="A78" s="5">
        <f>Raw_Data!A78</f>
        <v/>
      </c>
      <c r="B78" s="7">
        <f>Raw_Data!H78</f>
        <v/>
      </c>
      <c r="C78" s="7">
        <f>$I$2</f>
        <v/>
      </c>
      <c r="D78" s="11">
        <f>IF(B78=0,0,ROUND(($I$2/B78)*100,1))</f>
        <v/>
      </c>
    </row>
    <row r="79">
      <c r="A79" s="8">
        <f>Raw_Data!A79</f>
        <v/>
      </c>
      <c r="B79" s="10">
        <f>Raw_Data!H79</f>
        <v/>
      </c>
      <c r="C79" s="10">
        <f>$I$2</f>
        <v/>
      </c>
      <c r="D79" s="12">
        <f>IF(B79=0,0,ROUND(($I$2/B79)*100,1))</f>
        <v/>
      </c>
    </row>
    <row r="80">
      <c r="A80" s="5">
        <f>Raw_Data!A80</f>
        <v/>
      </c>
      <c r="B80" s="7">
        <f>Raw_Data!H80</f>
        <v/>
      </c>
      <c r="C80" s="7">
        <f>$I$2</f>
        <v/>
      </c>
      <c r="D80" s="11">
        <f>IF(B80=0,0,ROUND(($I$2/B80)*100,1))</f>
        <v/>
      </c>
    </row>
    <row r="81">
      <c r="A81" s="8">
        <f>Raw_Data!A81</f>
        <v/>
      </c>
      <c r="B81" s="10">
        <f>Raw_Data!H81</f>
        <v/>
      </c>
      <c r="C81" s="10">
        <f>$I$2</f>
        <v/>
      </c>
      <c r="D81" s="12">
        <f>IF(B81=0,0,ROUND(($I$2/B81)*100,1))</f>
        <v/>
      </c>
    </row>
    <row r="82">
      <c r="A82" s="5">
        <f>Raw_Data!A82</f>
        <v/>
      </c>
      <c r="B82" s="7">
        <f>Raw_Data!H82</f>
        <v/>
      </c>
      <c r="C82" s="7">
        <f>$I$2</f>
        <v/>
      </c>
      <c r="D82" s="11">
        <f>IF(B82=0,0,ROUND(($I$2/B82)*100,1))</f>
        <v/>
      </c>
    </row>
    <row r="83">
      <c r="A83" s="8">
        <f>Raw_Data!A83</f>
        <v/>
      </c>
      <c r="B83" s="10">
        <f>Raw_Data!H83</f>
        <v/>
      </c>
      <c r="C83" s="10">
        <f>$I$2</f>
        <v/>
      </c>
      <c r="D83" s="12">
        <f>IF(B83=0,0,ROUND(($I$2/B83)*100,1))</f>
        <v/>
      </c>
    </row>
    <row r="84">
      <c r="A84" s="5">
        <f>Raw_Data!A84</f>
        <v/>
      </c>
      <c r="B84" s="7">
        <f>Raw_Data!H84</f>
        <v/>
      </c>
      <c r="C84" s="7">
        <f>$I$2</f>
        <v/>
      </c>
      <c r="D84" s="11">
        <f>IF(B84=0,0,ROUND(($I$2/B84)*100,1))</f>
        <v/>
      </c>
    </row>
    <row r="85">
      <c r="A85" s="8">
        <f>Raw_Data!A85</f>
        <v/>
      </c>
      <c r="B85" s="10">
        <f>Raw_Data!H85</f>
        <v/>
      </c>
      <c r="C85" s="10">
        <f>$I$2</f>
        <v/>
      </c>
      <c r="D85" s="12">
        <f>IF(B85=0,0,ROUND(($I$2/B85)*100,1))</f>
        <v/>
      </c>
    </row>
    <row r="86">
      <c r="A86" s="5">
        <f>Raw_Data!A86</f>
        <v/>
      </c>
      <c r="B86" s="7">
        <f>Raw_Data!H86</f>
        <v/>
      </c>
      <c r="C86" s="7">
        <f>$I$2</f>
        <v/>
      </c>
      <c r="D86" s="11">
        <f>IF(B86=0,0,ROUND(($I$2/B86)*100,1))</f>
        <v/>
      </c>
    </row>
    <row r="87">
      <c r="A87" s="8">
        <f>Raw_Data!A87</f>
        <v/>
      </c>
      <c r="B87" s="10">
        <f>Raw_Data!H87</f>
        <v/>
      </c>
      <c r="C87" s="10">
        <f>$I$2</f>
        <v/>
      </c>
      <c r="D87" s="12">
        <f>IF(B87=0,0,ROUND(($I$2/B87)*100,1))</f>
        <v/>
      </c>
    </row>
    <row r="88">
      <c r="A88" s="5">
        <f>Raw_Data!A88</f>
        <v/>
      </c>
      <c r="B88" s="7">
        <f>Raw_Data!H88</f>
        <v/>
      </c>
      <c r="C88" s="7">
        <f>$I$2</f>
        <v/>
      </c>
      <c r="D88" s="11">
        <f>IF(B88=0,0,ROUND(($I$2/B88)*100,1))</f>
        <v/>
      </c>
    </row>
    <row r="89">
      <c r="A89" s="8">
        <f>Raw_Data!A89</f>
        <v/>
      </c>
      <c r="B89" s="10">
        <f>Raw_Data!H89</f>
        <v/>
      </c>
      <c r="C89" s="10">
        <f>$I$2</f>
        <v/>
      </c>
      <c r="D89" s="12">
        <f>IF(B89=0,0,ROUND(($I$2/B89)*100,1))</f>
        <v/>
      </c>
    </row>
    <row r="90">
      <c r="A90" s="5">
        <f>Raw_Data!A90</f>
        <v/>
      </c>
      <c r="B90" s="7">
        <f>Raw_Data!H90</f>
        <v/>
      </c>
      <c r="C90" s="7">
        <f>$I$2</f>
        <v/>
      </c>
      <c r="D90" s="11">
        <f>IF(B90=0,0,ROUND(($I$2/B90)*100,1))</f>
        <v/>
      </c>
    </row>
    <row r="91">
      <c r="A91" s="8">
        <f>Raw_Data!A91</f>
        <v/>
      </c>
      <c r="B91" s="10">
        <f>Raw_Data!H91</f>
        <v/>
      </c>
      <c r="C91" s="10">
        <f>$I$2</f>
        <v/>
      </c>
      <c r="D91" s="12">
        <f>IF(B91=0,0,ROUND(($I$2/B91)*100,1))</f>
        <v/>
      </c>
    </row>
    <row r="92">
      <c r="A92" s="5">
        <f>Raw_Data!A92</f>
        <v/>
      </c>
      <c r="B92" s="7">
        <f>Raw_Data!H92</f>
        <v/>
      </c>
      <c r="C92" s="7">
        <f>$I$2</f>
        <v/>
      </c>
      <c r="D92" s="11">
        <f>IF(B92=0,0,ROUND(($I$2/B92)*100,1))</f>
        <v/>
      </c>
    </row>
    <row r="93">
      <c r="A93" s="8">
        <f>Raw_Data!A93</f>
        <v/>
      </c>
      <c r="B93" s="10">
        <f>Raw_Data!H93</f>
        <v/>
      </c>
      <c r="C93" s="10">
        <f>$I$2</f>
        <v/>
      </c>
      <c r="D93" s="12">
        <f>IF(B93=0,0,ROUND(($I$2/B93)*100,1))</f>
        <v/>
      </c>
    </row>
    <row r="94">
      <c r="A94" s="5">
        <f>Raw_Data!A94</f>
        <v/>
      </c>
      <c r="B94" s="7">
        <f>Raw_Data!H94</f>
        <v/>
      </c>
      <c r="C94" s="7">
        <f>$I$2</f>
        <v/>
      </c>
      <c r="D94" s="11">
        <f>IF(B94=0,0,ROUND(($I$2/B94)*100,1))</f>
        <v/>
      </c>
    </row>
    <row r="95">
      <c r="A95" s="8">
        <f>Raw_Data!A95</f>
        <v/>
      </c>
      <c r="B95" s="10">
        <f>Raw_Data!H95</f>
        <v/>
      </c>
      <c r="C95" s="10">
        <f>$I$2</f>
        <v/>
      </c>
      <c r="D95" s="12">
        <f>IF(B95=0,0,ROUND(($I$2/B95)*100,1))</f>
        <v/>
      </c>
    </row>
    <row r="96">
      <c r="A96" s="5">
        <f>Raw_Data!A96</f>
        <v/>
      </c>
      <c r="B96" s="7">
        <f>Raw_Data!H96</f>
        <v/>
      </c>
      <c r="C96" s="7">
        <f>$I$2</f>
        <v/>
      </c>
      <c r="D96" s="11">
        <f>IF(B96=0,0,ROUND(($I$2/B96)*100,1))</f>
        <v/>
      </c>
    </row>
    <row r="97">
      <c r="A97" s="8">
        <f>Raw_Data!A97</f>
        <v/>
      </c>
      <c r="B97" s="10">
        <f>Raw_Data!H97</f>
        <v/>
      </c>
      <c r="C97" s="10">
        <f>$I$2</f>
        <v/>
      </c>
      <c r="D97" s="12">
        <f>IF(B97=0,0,ROUND(($I$2/B97)*100,1))</f>
        <v/>
      </c>
    </row>
    <row r="98">
      <c r="A98" s="5">
        <f>Raw_Data!A98</f>
        <v/>
      </c>
      <c r="B98" s="7">
        <f>Raw_Data!H98</f>
        <v/>
      </c>
      <c r="C98" s="7">
        <f>$I$2</f>
        <v/>
      </c>
      <c r="D98" s="11">
        <f>IF(B98=0,0,ROUND(($I$2/B98)*100,1))</f>
        <v/>
      </c>
    </row>
    <row r="99">
      <c r="A99" s="8">
        <f>Raw_Data!A99</f>
        <v/>
      </c>
      <c r="B99" s="10">
        <f>Raw_Data!H99</f>
        <v/>
      </c>
      <c r="C99" s="10">
        <f>$I$2</f>
        <v/>
      </c>
      <c r="D99" s="12">
        <f>IF(B99=0,0,ROUND(($I$2/B99)*100,1))</f>
        <v/>
      </c>
    </row>
    <row r="100">
      <c r="A100" s="5">
        <f>Raw_Data!A100</f>
        <v/>
      </c>
      <c r="B100" s="7">
        <f>Raw_Data!H100</f>
        <v/>
      </c>
      <c r="C100" s="7">
        <f>$I$2</f>
        <v/>
      </c>
      <c r="D100" s="11">
        <f>IF(B100=0,0,ROUND(($I$2/B100)*100,1))</f>
        <v/>
      </c>
    </row>
    <row r="101">
      <c r="A101" s="8">
        <f>Raw_Data!A101</f>
        <v/>
      </c>
      <c r="B101" s="10">
        <f>Raw_Data!H101</f>
        <v/>
      </c>
      <c r="C101" s="10">
        <f>$I$2</f>
        <v/>
      </c>
      <c r="D101" s="12">
        <f>IF(B101=0,0,ROUND(($I$2/B101)*100,1))</f>
        <v/>
      </c>
    </row>
    <row r="102">
      <c r="A102" s="5">
        <f>Raw_Data!A102</f>
        <v/>
      </c>
      <c r="B102" s="7">
        <f>Raw_Data!H102</f>
        <v/>
      </c>
      <c r="C102" s="7">
        <f>$I$2</f>
        <v/>
      </c>
      <c r="D102" s="11">
        <f>IF(B102=0,0,ROUND(($I$2/B102)*100,1))</f>
        <v/>
      </c>
    </row>
    <row r="103">
      <c r="A103" s="8">
        <f>Raw_Data!A103</f>
        <v/>
      </c>
      <c r="B103" s="10">
        <f>Raw_Data!H103</f>
        <v/>
      </c>
      <c r="C103" s="10">
        <f>$I$2</f>
        <v/>
      </c>
      <c r="D103" s="12">
        <f>IF(B103=0,0,ROUND(($I$2/B103)*100,1))</f>
        <v/>
      </c>
    </row>
    <row r="104">
      <c r="A104" s="5">
        <f>Raw_Data!A104</f>
        <v/>
      </c>
      <c r="B104" s="7">
        <f>Raw_Data!H104</f>
        <v/>
      </c>
      <c r="C104" s="7">
        <f>$I$2</f>
        <v/>
      </c>
      <c r="D104" s="11">
        <f>IF(B104=0,0,ROUND(($I$2/B104)*100,1))</f>
        <v/>
      </c>
    </row>
    <row r="105">
      <c r="A105" s="8">
        <f>Raw_Data!A105</f>
        <v/>
      </c>
      <c r="B105" s="10">
        <f>Raw_Data!H105</f>
        <v/>
      </c>
      <c r="C105" s="10">
        <f>$I$2</f>
        <v/>
      </c>
      <c r="D105" s="12">
        <f>IF(B105=0,0,ROUND(($I$2/B105)*100,1))</f>
        <v/>
      </c>
    </row>
    <row r="106">
      <c r="A106" s="5">
        <f>Raw_Data!A106</f>
        <v/>
      </c>
      <c r="B106" s="7">
        <f>Raw_Data!H106</f>
        <v/>
      </c>
      <c r="C106" s="7">
        <f>$I$2</f>
        <v/>
      </c>
      <c r="D106" s="11">
        <f>IF(B106=0,0,ROUND(($I$2/B106)*100,1))</f>
        <v/>
      </c>
    </row>
    <row r="107">
      <c r="A107" s="8">
        <f>Raw_Data!A107</f>
        <v/>
      </c>
      <c r="B107" s="10">
        <f>Raw_Data!H107</f>
        <v/>
      </c>
      <c r="C107" s="10">
        <f>$I$2</f>
        <v/>
      </c>
      <c r="D107" s="12">
        <f>IF(B107=0,0,ROUND(($I$2/B107)*100,1))</f>
        <v/>
      </c>
    </row>
    <row r="108">
      <c r="A108" s="5">
        <f>Raw_Data!A108</f>
        <v/>
      </c>
      <c r="B108" s="7">
        <f>Raw_Data!H108</f>
        <v/>
      </c>
      <c r="C108" s="7">
        <f>$I$2</f>
        <v/>
      </c>
      <c r="D108" s="11">
        <f>IF(B108=0,0,ROUND(($I$2/B108)*100,1))</f>
        <v/>
      </c>
    </row>
    <row r="109">
      <c r="A109" s="8">
        <f>Raw_Data!A109</f>
        <v/>
      </c>
      <c r="B109" s="10">
        <f>Raw_Data!H109</f>
        <v/>
      </c>
      <c r="C109" s="10">
        <f>$I$2</f>
        <v/>
      </c>
      <c r="D109" s="12">
        <f>IF(B109=0,0,ROUND(($I$2/B109)*100,1))</f>
        <v/>
      </c>
    </row>
    <row r="110">
      <c r="A110" s="5">
        <f>Raw_Data!A110</f>
        <v/>
      </c>
      <c r="B110" s="7">
        <f>Raw_Data!H110</f>
        <v/>
      </c>
      <c r="C110" s="7">
        <f>$I$2</f>
        <v/>
      </c>
      <c r="D110" s="11">
        <f>IF(B110=0,0,ROUND(($I$2/B110)*100,1))</f>
        <v/>
      </c>
    </row>
    <row r="111">
      <c r="A111" s="8">
        <f>Raw_Data!A111</f>
        <v/>
      </c>
      <c r="B111" s="10">
        <f>Raw_Data!H111</f>
        <v/>
      </c>
      <c r="C111" s="10">
        <f>$I$2</f>
        <v/>
      </c>
      <c r="D111" s="12">
        <f>IF(B111=0,0,ROUND(($I$2/B111)*100,1))</f>
        <v/>
      </c>
    </row>
    <row r="112">
      <c r="A112" s="5">
        <f>Raw_Data!A112</f>
        <v/>
      </c>
      <c r="B112" s="7">
        <f>Raw_Data!H112</f>
        <v/>
      </c>
      <c r="C112" s="7">
        <f>$I$2</f>
        <v/>
      </c>
      <c r="D112" s="11">
        <f>IF(B112=0,0,ROUND(($I$2/B112)*100,1))</f>
        <v/>
      </c>
    </row>
    <row r="113">
      <c r="A113" s="8">
        <f>Raw_Data!A113</f>
        <v/>
      </c>
      <c r="B113" s="10">
        <f>Raw_Data!H113</f>
        <v/>
      </c>
      <c r="C113" s="10">
        <f>$I$2</f>
        <v/>
      </c>
      <c r="D113" s="12">
        <f>IF(B113=0,0,ROUND(($I$2/B113)*100,1))</f>
        <v/>
      </c>
    </row>
    <row r="114">
      <c r="A114" s="5">
        <f>Raw_Data!A114</f>
        <v/>
      </c>
      <c r="B114" s="7">
        <f>Raw_Data!H114</f>
        <v/>
      </c>
      <c r="C114" s="7">
        <f>$I$2</f>
        <v/>
      </c>
      <c r="D114" s="11">
        <f>IF(B114=0,0,ROUND(($I$2/B114)*100,1))</f>
        <v/>
      </c>
    </row>
    <row r="115">
      <c r="A115" s="8">
        <f>Raw_Data!A115</f>
        <v/>
      </c>
      <c r="B115" s="10">
        <f>Raw_Data!H115</f>
        <v/>
      </c>
      <c r="C115" s="10">
        <f>$I$2</f>
        <v/>
      </c>
      <c r="D115" s="12">
        <f>IF(B115=0,0,ROUND(($I$2/B115)*100,1))</f>
        <v/>
      </c>
    </row>
    <row r="116">
      <c r="A116" s="5">
        <f>Raw_Data!A116</f>
        <v/>
      </c>
      <c r="B116" s="7">
        <f>Raw_Data!H116</f>
        <v/>
      </c>
      <c r="C116" s="7">
        <f>$I$2</f>
        <v/>
      </c>
      <c r="D116" s="11">
        <f>IF(B116=0,0,ROUND(($I$2/B116)*100,1))</f>
        <v/>
      </c>
    </row>
    <row r="117">
      <c r="A117" s="8">
        <f>Raw_Data!A117</f>
        <v/>
      </c>
      <c r="B117" s="10">
        <f>Raw_Data!H117</f>
        <v/>
      </c>
      <c r="C117" s="10">
        <f>$I$2</f>
        <v/>
      </c>
      <c r="D117" s="12">
        <f>IF(B117=0,0,ROUND(($I$2/B117)*100,1))</f>
        <v/>
      </c>
    </row>
    <row r="118">
      <c r="A118" s="5">
        <f>Raw_Data!A118</f>
        <v/>
      </c>
      <c r="B118" s="7">
        <f>Raw_Data!H118</f>
        <v/>
      </c>
      <c r="C118" s="7">
        <f>$I$2</f>
        <v/>
      </c>
      <c r="D118" s="11">
        <f>IF(B118=0,0,ROUND(($I$2/B118)*100,1))</f>
        <v/>
      </c>
    </row>
    <row r="119">
      <c r="A119" s="8">
        <f>Raw_Data!A119</f>
        <v/>
      </c>
      <c r="B119" s="10">
        <f>Raw_Data!H119</f>
        <v/>
      </c>
      <c r="C119" s="10">
        <f>$I$2</f>
        <v/>
      </c>
      <c r="D119" s="12">
        <f>IF(B119=0,0,ROUND(($I$2/B119)*100,1))</f>
        <v/>
      </c>
    </row>
    <row r="120">
      <c r="A120" s="5">
        <f>Raw_Data!A120</f>
        <v/>
      </c>
      <c r="B120" s="7">
        <f>Raw_Data!H120</f>
        <v/>
      </c>
      <c r="C120" s="7">
        <f>$I$2</f>
        <v/>
      </c>
      <c r="D120" s="11">
        <f>IF(B120=0,0,ROUND(($I$2/B120)*100,1))</f>
        <v/>
      </c>
    </row>
    <row r="121">
      <c r="A121" s="8">
        <f>Raw_Data!A121</f>
        <v/>
      </c>
      <c r="B121" s="10">
        <f>Raw_Data!H121</f>
        <v/>
      </c>
      <c r="C121" s="10">
        <f>$I$2</f>
        <v/>
      </c>
      <c r="D121" s="12">
        <f>IF(B121=0,0,ROUND(($I$2/B121)*100,1))</f>
        <v/>
      </c>
    </row>
  </sheetData>
  <autoFilter ref="A1:D121"/>
  <conditionalFormatting sqref="D2:D121">
    <cfRule type="cellIs" priority="1" operator="greaterThanOrEqual" dxfId="2">
      <formula>80</formula>
    </cfRule>
    <cfRule type="cellIs" priority="2" operator="between" dxfId="4">
      <formula>50</formula>
      <formula>79.9</formula>
    </cfRule>
    <cfRule type="cellIs" priority="3" operator="lessThan" dxfId="1">
      <formula>50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20" customWidth="1" min="8" max="8"/>
  </cols>
  <sheetData>
    <row r="1">
      <c r="A1" s="4" t="inlineStr">
        <is>
          <t>Rank</t>
        </is>
      </c>
      <c r="B1" s="4" t="inlineStr">
        <is>
          <t>Company Name</t>
        </is>
      </c>
      <c r="C1" s="4" t="inlineStr">
        <is>
          <t>Industry</t>
        </is>
      </c>
      <c r="D1" s="4" t="inlineStr">
        <is>
          <t>Region</t>
        </is>
      </c>
      <c r="E1" s="4" t="inlineStr">
        <is>
          <t>Tech Score (70%)</t>
        </is>
      </c>
      <c r="F1" s="4" t="inlineStr">
        <is>
          <t>Fin Score (30%)</t>
        </is>
      </c>
      <c r="G1" s="4" t="inlineStr">
        <is>
          <t>Composite Score</t>
        </is>
      </c>
      <c r="H1" s="4" t="inlineStr">
        <is>
          <t>Eligibility Status</t>
        </is>
      </c>
    </row>
    <row r="2">
      <c r="A2" s="5">
        <f>RANK.EQ(G2,$G$2:$G$121,0)</f>
        <v/>
      </c>
      <c r="B2" s="6">
        <f>Raw_Data!A2</f>
        <v/>
      </c>
      <c r="C2" s="6">
        <f>Raw_Data!B2</f>
        <v/>
      </c>
      <c r="D2" s="6">
        <f>Raw_Data!C2</f>
        <v/>
      </c>
      <c r="E2" s="11">
        <f>ROUND(Technical_Scoring!H2*0.7,1)</f>
        <v/>
      </c>
      <c r="F2" s="11">
        <f>ROUND(Financial_Evaluation!D2*0.3,1)</f>
        <v/>
      </c>
      <c r="G2" s="11">
        <f>ROUND(E2+F2,1)</f>
        <v/>
      </c>
      <c r="H2" s="6">
        <f>Eligibility_Check!L2</f>
        <v/>
      </c>
    </row>
    <row r="3">
      <c r="A3" s="8">
        <f>RANK.EQ(G3,$G$2:$G$121,0)</f>
        <v/>
      </c>
      <c r="B3" s="9">
        <f>Raw_Data!A3</f>
        <v/>
      </c>
      <c r="C3" s="9">
        <f>Raw_Data!B3</f>
        <v/>
      </c>
      <c r="D3" s="9">
        <f>Raw_Data!C3</f>
        <v/>
      </c>
      <c r="E3" s="12">
        <f>ROUND(Technical_Scoring!H3*0.7,1)</f>
        <v/>
      </c>
      <c r="F3" s="12">
        <f>ROUND(Financial_Evaluation!D3*0.3,1)</f>
        <v/>
      </c>
      <c r="G3" s="12">
        <f>ROUND(E3+F3,1)</f>
        <v/>
      </c>
      <c r="H3" s="9">
        <f>Eligibility_Check!L3</f>
        <v/>
      </c>
    </row>
    <row r="4">
      <c r="A4" s="5">
        <f>RANK.EQ(G4,$G$2:$G$121,0)</f>
        <v/>
      </c>
      <c r="B4" s="6">
        <f>Raw_Data!A4</f>
        <v/>
      </c>
      <c r="C4" s="6">
        <f>Raw_Data!B4</f>
        <v/>
      </c>
      <c r="D4" s="6">
        <f>Raw_Data!C4</f>
        <v/>
      </c>
      <c r="E4" s="11">
        <f>ROUND(Technical_Scoring!H4*0.7,1)</f>
        <v/>
      </c>
      <c r="F4" s="11">
        <f>ROUND(Financial_Evaluation!D4*0.3,1)</f>
        <v/>
      </c>
      <c r="G4" s="11">
        <f>ROUND(E4+F4,1)</f>
        <v/>
      </c>
      <c r="H4" s="6">
        <f>Eligibility_Check!L4</f>
        <v/>
      </c>
    </row>
    <row r="5">
      <c r="A5" s="8">
        <f>RANK.EQ(G5,$G$2:$G$121,0)</f>
        <v/>
      </c>
      <c r="B5" s="9">
        <f>Raw_Data!A5</f>
        <v/>
      </c>
      <c r="C5" s="9">
        <f>Raw_Data!B5</f>
        <v/>
      </c>
      <c r="D5" s="9">
        <f>Raw_Data!C5</f>
        <v/>
      </c>
      <c r="E5" s="12">
        <f>ROUND(Technical_Scoring!H5*0.7,1)</f>
        <v/>
      </c>
      <c r="F5" s="12">
        <f>ROUND(Financial_Evaluation!D5*0.3,1)</f>
        <v/>
      </c>
      <c r="G5" s="12">
        <f>ROUND(E5+F5,1)</f>
        <v/>
      </c>
      <c r="H5" s="9">
        <f>Eligibility_Check!L5</f>
        <v/>
      </c>
    </row>
    <row r="6">
      <c r="A6" s="5">
        <f>RANK.EQ(G6,$G$2:$G$121,0)</f>
        <v/>
      </c>
      <c r="B6" s="6">
        <f>Raw_Data!A6</f>
        <v/>
      </c>
      <c r="C6" s="6">
        <f>Raw_Data!B6</f>
        <v/>
      </c>
      <c r="D6" s="6">
        <f>Raw_Data!C6</f>
        <v/>
      </c>
      <c r="E6" s="11">
        <f>ROUND(Technical_Scoring!H6*0.7,1)</f>
        <v/>
      </c>
      <c r="F6" s="11">
        <f>ROUND(Financial_Evaluation!D6*0.3,1)</f>
        <v/>
      </c>
      <c r="G6" s="11">
        <f>ROUND(E6+F6,1)</f>
        <v/>
      </c>
      <c r="H6" s="6">
        <f>Eligibility_Check!L6</f>
        <v/>
      </c>
    </row>
    <row r="7">
      <c r="A7" s="8">
        <f>RANK.EQ(G7,$G$2:$G$121,0)</f>
        <v/>
      </c>
      <c r="B7" s="9">
        <f>Raw_Data!A7</f>
        <v/>
      </c>
      <c r="C7" s="9">
        <f>Raw_Data!B7</f>
        <v/>
      </c>
      <c r="D7" s="9">
        <f>Raw_Data!C7</f>
        <v/>
      </c>
      <c r="E7" s="12">
        <f>ROUND(Technical_Scoring!H7*0.7,1)</f>
        <v/>
      </c>
      <c r="F7" s="12">
        <f>ROUND(Financial_Evaluation!D7*0.3,1)</f>
        <v/>
      </c>
      <c r="G7" s="12">
        <f>ROUND(E7+F7,1)</f>
        <v/>
      </c>
      <c r="H7" s="9">
        <f>Eligibility_Check!L7</f>
        <v/>
      </c>
    </row>
    <row r="8">
      <c r="A8" s="5">
        <f>RANK.EQ(G8,$G$2:$G$121,0)</f>
        <v/>
      </c>
      <c r="B8" s="6">
        <f>Raw_Data!A8</f>
        <v/>
      </c>
      <c r="C8" s="6">
        <f>Raw_Data!B8</f>
        <v/>
      </c>
      <c r="D8" s="6">
        <f>Raw_Data!C8</f>
        <v/>
      </c>
      <c r="E8" s="11">
        <f>ROUND(Technical_Scoring!H8*0.7,1)</f>
        <v/>
      </c>
      <c r="F8" s="11">
        <f>ROUND(Financial_Evaluation!D8*0.3,1)</f>
        <v/>
      </c>
      <c r="G8" s="11">
        <f>ROUND(E8+F8,1)</f>
        <v/>
      </c>
      <c r="H8" s="6">
        <f>Eligibility_Check!L8</f>
        <v/>
      </c>
    </row>
    <row r="9">
      <c r="A9" s="8">
        <f>RANK.EQ(G9,$G$2:$G$121,0)</f>
        <v/>
      </c>
      <c r="B9" s="9">
        <f>Raw_Data!A9</f>
        <v/>
      </c>
      <c r="C9" s="9">
        <f>Raw_Data!B9</f>
        <v/>
      </c>
      <c r="D9" s="9">
        <f>Raw_Data!C9</f>
        <v/>
      </c>
      <c r="E9" s="12">
        <f>ROUND(Technical_Scoring!H9*0.7,1)</f>
        <v/>
      </c>
      <c r="F9" s="12">
        <f>ROUND(Financial_Evaluation!D9*0.3,1)</f>
        <v/>
      </c>
      <c r="G9" s="12">
        <f>ROUND(E9+F9,1)</f>
        <v/>
      </c>
      <c r="H9" s="9">
        <f>Eligibility_Check!L9</f>
        <v/>
      </c>
    </row>
    <row r="10">
      <c r="A10" s="5">
        <f>RANK.EQ(G10,$G$2:$G$121,0)</f>
        <v/>
      </c>
      <c r="B10" s="6">
        <f>Raw_Data!A10</f>
        <v/>
      </c>
      <c r="C10" s="6">
        <f>Raw_Data!B10</f>
        <v/>
      </c>
      <c r="D10" s="6">
        <f>Raw_Data!C10</f>
        <v/>
      </c>
      <c r="E10" s="11">
        <f>ROUND(Technical_Scoring!H10*0.7,1)</f>
        <v/>
      </c>
      <c r="F10" s="11">
        <f>ROUND(Financial_Evaluation!D10*0.3,1)</f>
        <v/>
      </c>
      <c r="G10" s="11">
        <f>ROUND(E10+F10,1)</f>
        <v/>
      </c>
      <c r="H10" s="6">
        <f>Eligibility_Check!L10</f>
        <v/>
      </c>
    </row>
    <row r="11">
      <c r="A11" s="8">
        <f>RANK.EQ(G11,$G$2:$G$121,0)</f>
        <v/>
      </c>
      <c r="B11" s="9">
        <f>Raw_Data!A11</f>
        <v/>
      </c>
      <c r="C11" s="9">
        <f>Raw_Data!B11</f>
        <v/>
      </c>
      <c r="D11" s="9">
        <f>Raw_Data!C11</f>
        <v/>
      </c>
      <c r="E11" s="12">
        <f>ROUND(Technical_Scoring!H11*0.7,1)</f>
        <v/>
      </c>
      <c r="F11" s="12">
        <f>ROUND(Financial_Evaluation!D11*0.3,1)</f>
        <v/>
      </c>
      <c r="G11" s="12">
        <f>ROUND(E11+F11,1)</f>
        <v/>
      </c>
      <c r="H11" s="9">
        <f>Eligibility_Check!L11</f>
        <v/>
      </c>
    </row>
    <row r="12">
      <c r="A12" s="5">
        <f>RANK.EQ(G12,$G$2:$G$121,0)</f>
        <v/>
      </c>
      <c r="B12" s="6">
        <f>Raw_Data!A12</f>
        <v/>
      </c>
      <c r="C12" s="6">
        <f>Raw_Data!B12</f>
        <v/>
      </c>
      <c r="D12" s="6">
        <f>Raw_Data!C12</f>
        <v/>
      </c>
      <c r="E12" s="11">
        <f>ROUND(Technical_Scoring!H12*0.7,1)</f>
        <v/>
      </c>
      <c r="F12" s="11">
        <f>ROUND(Financial_Evaluation!D12*0.3,1)</f>
        <v/>
      </c>
      <c r="G12" s="11">
        <f>ROUND(E12+F12,1)</f>
        <v/>
      </c>
      <c r="H12" s="6">
        <f>Eligibility_Check!L12</f>
        <v/>
      </c>
    </row>
    <row r="13">
      <c r="A13" s="8">
        <f>RANK.EQ(G13,$G$2:$G$121,0)</f>
        <v/>
      </c>
      <c r="B13" s="9">
        <f>Raw_Data!A13</f>
        <v/>
      </c>
      <c r="C13" s="9">
        <f>Raw_Data!B13</f>
        <v/>
      </c>
      <c r="D13" s="9">
        <f>Raw_Data!C13</f>
        <v/>
      </c>
      <c r="E13" s="12">
        <f>ROUND(Technical_Scoring!H13*0.7,1)</f>
        <v/>
      </c>
      <c r="F13" s="12">
        <f>ROUND(Financial_Evaluation!D13*0.3,1)</f>
        <v/>
      </c>
      <c r="G13" s="12">
        <f>ROUND(E13+F13,1)</f>
        <v/>
      </c>
      <c r="H13" s="9">
        <f>Eligibility_Check!L13</f>
        <v/>
      </c>
    </row>
    <row r="14">
      <c r="A14" s="5">
        <f>RANK.EQ(G14,$G$2:$G$121,0)</f>
        <v/>
      </c>
      <c r="B14" s="6">
        <f>Raw_Data!A14</f>
        <v/>
      </c>
      <c r="C14" s="6">
        <f>Raw_Data!B14</f>
        <v/>
      </c>
      <c r="D14" s="6">
        <f>Raw_Data!C14</f>
        <v/>
      </c>
      <c r="E14" s="11">
        <f>ROUND(Technical_Scoring!H14*0.7,1)</f>
        <v/>
      </c>
      <c r="F14" s="11">
        <f>ROUND(Financial_Evaluation!D14*0.3,1)</f>
        <v/>
      </c>
      <c r="G14" s="11">
        <f>ROUND(E14+F14,1)</f>
        <v/>
      </c>
      <c r="H14" s="6">
        <f>Eligibility_Check!L14</f>
        <v/>
      </c>
    </row>
    <row r="15">
      <c r="A15" s="8">
        <f>RANK.EQ(G15,$G$2:$G$121,0)</f>
        <v/>
      </c>
      <c r="B15" s="9">
        <f>Raw_Data!A15</f>
        <v/>
      </c>
      <c r="C15" s="9">
        <f>Raw_Data!B15</f>
        <v/>
      </c>
      <c r="D15" s="9">
        <f>Raw_Data!C15</f>
        <v/>
      </c>
      <c r="E15" s="12">
        <f>ROUND(Technical_Scoring!H15*0.7,1)</f>
        <v/>
      </c>
      <c r="F15" s="12">
        <f>ROUND(Financial_Evaluation!D15*0.3,1)</f>
        <v/>
      </c>
      <c r="G15" s="12">
        <f>ROUND(E15+F15,1)</f>
        <v/>
      </c>
      <c r="H15" s="9">
        <f>Eligibility_Check!L15</f>
        <v/>
      </c>
    </row>
    <row r="16">
      <c r="A16" s="5">
        <f>RANK.EQ(G16,$G$2:$G$121,0)</f>
        <v/>
      </c>
      <c r="B16" s="6">
        <f>Raw_Data!A16</f>
        <v/>
      </c>
      <c r="C16" s="6">
        <f>Raw_Data!B16</f>
        <v/>
      </c>
      <c r="D16" s="6">
        <f>Raw_Data!C16</f>
        <v/>
      </c>
      <c r="E16" s="11">
        <f>ROUND(Technical_Scoring!H16*0.7,1)</f>
        <v/>
      </c>
      <c r="F16" s="11">
        <f>ROUND(Financial_Evaluation!D16*0.3,1)</f>
        <v/>
      </c>
      <c r="G16" s="11">
        <f>ROUND(E16+F16,1)</f>
        <v/>
      </c>
      <c r="H16" s="6">
        <f>Eligibility_Check!L16</f>
        <v/>
      </c>
    </row>
    <row r="17">
      <c r="A17" s="8">
        <f>RANK.EQ(G17,$G$2:$G$121,0)</f>
        <v/>
      </c>
      <c r="B17" s="9">
        <f>Raw_Data!A17</f>
        <v/>
      </c>
      <c r="C17" s="9">
        <f>Raw_Data!B17</f>
        <v/>
      </c>
      <c r="D17" s="9">
        <f>Raw_Data!C17</f>
        <v/>
      </c>
      <c r="E17" s="12">
        <f>ROUND(Technical_Scoring!H17*0.7,1)</f>
        <v/>
      </c>
      <c r="F17" s="12">
        <f>ROUND(Financial_Evaluation!D17*0.3,1)</f>
        <v/>
      </c>
      <c r="G17" s="12">
        <f>ROUND(E17+F17,1)</f>
        <v/>
      </c>
      <c r="H17" s="9">
        <f>Eligibility_Check!L17</f>
        <v/>
      </c>
    </row>
    <row r="18">
      <c r="A18" s="5">
        <f>RANK.EQ(G18,$G$2:$G$121,0)</f>
        <v/>
      </c>
      <c r="B18" s="6">
        <f>Raw_Data!A18</f>
        <v/>
      </c>
      <c r="C18" s="6">
        <f>Raw_Data!B18</f>
        <v/>
      </c>
      <c r="D18" s="6">
        <f>Raw_Data!C18</f>
        <v/>
      </c>
      <c r="E18" s="11">
        <f>ROUND(Technical_Scoring!H18*0.7,1)</f>
        <v/>
      </c>
      <c r="F18" s="11">
        <f>ROUND(Financial_Evaluation!D18*0.3,1)</f>
        <v/>
      </c>
      <c r="G18" s="11">
        <f>ROUND(E18+F18,1)</f>
        <v/>
      </c>
      <c r="H18" s="6">
        <f>Eligibility_Check!L18</f>
        <v/>
      </c>
    </row>
    <row r="19">
      <c r="A19" s="8">
        <f>RANK.EQ(G19,$G$2:$G$121,0)</f>
        <v/>
      </c>
      <c r="B19" s="9">
        <f>Raw_Data!A19</f>
        <v/>
      </c>
      <c r="C19" s="9">
        <f>Raw_Data!B19</f>
        <v/>
      </c>
      <c r="D19" s="9">
        <f>Raw_Data!C19</f>
        <v/>
      </c>
      <c r="E19" s="12">
        <f>ROUND(Technical_Scoring!H19*0.7,1)</f>
        <v/>
      </c>
      <c r="F19" s="12">
        <f>ROUND(Financial_Evaluation!D19*0.3,1)</f>
        <v/>
      </c>
      <c r="G19" s="12">
        <f>ROUND(E19+F19,1)</f>
        <v/>
      </c>
      <c r="H19" s="9">
        <f>Eligibility_Check!L19</f>
        <v/>
      </c>
    </row>
    <row r="20">
      <c r="A20" s="5">
        <f>RANK.EQ(G20,$G$2:$G$121,0)</f>
        <v/>
      </c>
      <c r="B20" s="6">
        <f>Raw_Data!A20</f>
        <v/>
      </c>
      <c r="C20" s="6">
        <f>Raw_Data!B20</f>
        <v/>
      </c>
      <c r="D20" s="6">
        <f>Raw_Data!C20</f>
        <v/>
      </c>
      <c r="E20" s="11">
        <f>ROUND(Technical_Scoring!H20*0.7,1)</f>
        <v/>
      </c>
      <c r="F20" s="11">
        <f>ROUND(Financial_Evaluation!D20*0.3,1)</f>
        <v/>
      </c>
      <c r="G20" s="11">
        <f>ROUND(E20+F20,1)</f>
        <v/>
      </c>
      <c r="H20" s="6">
        <f>Eligibility_Check!L20</f>
        <v/>
      </c>
    </row>
    <row r="21">
      <c r="A21" s="8">
        <f>RANK.EQ(G21,$G$2:$G$121,0)</f>
        <v/>
      </c>
      <c r="B21" s="9">
        <f>Raw_Data!A21</f>
        <v/>
      </c>
      <c r="C21" s="9">
        <f>Raw_Data!B21</f>
        <v/>
      </c>
      <c r="D21" s="9">
        <f>Raw_Data!C21</f>
        <v/>
      </c>
      <c r="E21" s="12">
        <f>ROUND(Technical_Scoring!H21*0.7,1)</f>
        <v/>
      </c>
      <c r="F21" s="12">
        <f>ROUND(Financial_Evaluation!D21*0.3,1)</f>
        <v/>
      </c>
      <c r="G21" s="12">
        <f>ROUND(E21+F21,1)</f>
        <v/>
      </c>
      <c r="H21" s="9">
        <f>Eligibility_Check!L21</f>
        <v/>
      </c>
    </row>
    <row r="22">
      <c r="A22" s="5">
        <f>RANK.EQ(G22,$G$2:$G$121,0)</f>
        <v/>
      </c>
      <c r="B22" s="6">
        <f>Raw_Data!A22</f>
        <v/>
      </c>
      <c r="C22" s="6">
        <f>Raw_Data!B22</f>
        <v/>
      </c>
      <c r="D22" s="6">
        <f>Raw_Data!C22</f>
        <v/>
      </c>
      <c r="E22" s="11">
        <f>ROUND(Technical_Scoring!H22*0.7,1)</f>
        <v/>
      </c>
      <c r="F22" s="11">
        <f>ROUND(Financial_Evaluation!D22*0.3,1)</f>
        <v/>
      </c>
      <c r="G22" s="11">
        <f>ROUND(E22+F22,1)</f>
        <v/>
      </c>
      <c r="H22" s="6">
        <f>Eligibility_Check!L22</f>
        <v/>
      </c>
    </row>
    <row r="23">
      <c r="A23" s="8">
        <f>RANK.EQ(G23,$G$2:$G$121,0)</f>
        <v/>
      </c>
      <c r="B23" s="9">
        <f>Raw_Data!A23</f>
        <v/>
      </c>
      <c r="C23" s="9">
        <f>Raw_Data!B23</f>
        <v/>
      </c>
      <c r="D23" s="9">
        <f>Raw_Data!C23</f>
        <v/>
      </c>
      <c r="E23" s="12">
        <f>ROUND(Technical_Scoring!H23*0.7,1)</f>
        <v/>
      </c>
      <c r="F23" s="12">
        <f>ROUND(Financial_Evaluation!D23*0.3,1)</f>
        <v/>
      </c>
      <c r="G23" s="12">
        <f>ROUND(E23+F23,1)</f>
        <v/>
      </c>
      <c r="H23" s="9">
        <f>Eligibility_Check!L23</f>
        <v/>
      </c>
    </row>
    <row r="24">
      <c r="A24" s="5">
        <f>RANK.EQ(G24,$G$2:$G$121,0)</f>
        <v/>
      </c>
      <c r="B24" s="6">
        <f>Raw_Data!A24</f>
        <v/>
      </c>
      <c r="C24" s="6">
        <f>Raw_Data!B24</f>
        <v/>
      </c>
      <c r="D24" s="6">
        <f>Raw_Data!C24</f>
        <v/>
      </c>
      <c r="E24" s="11">
        <f>ROUND(Technical_Scoring!H24*0.7,1)</f>
        <v/>
      </c>
      <c r="F24" s="11">
        <f>ROUND(Financial_Evaluation!D24*0.3,1)</f>
        <v/>
      </c>
      <c r="G24" s="11">
        <f>ROUND(E24+F24,1)</f>
        <v/>
      </c>
      <c r="H24" s="6">
        <f>Eligibility_Check!L24</f>
        <v/>
      </c>
    </row>
    <row r="25">
      <c r="A25" s="8">
        <f>RANK.EQ(G25,$G$2:$G$121,0)</f>
        <v/>
      </c>
      <c r="B25" s="9">
        <f>Raw_Data!A25</f>
        <v/>
      </c>
      <c r="C25" s="9">
        <f>Raw_Data!B25</f>
        <v/>
      </c>
      <c r="D25" s="9">
        <f>Raw_Data!C25</f>
        <v/>
      </c>
      <c r="E25" s="12">
        <f>ROUND(Technical_Scoring!H25*0.7,1)</f>
        <v/>
      </c>
      <c r="F25" s="12">
        <f>ROUND(Financial_Evaluation!D25*0.3,1)</f>
        <v/>
      </c>
      <c r="G25" s="12">
        <f>ROUND(E25+F25,1)</f>
        <v/>
      </c>
      <c r="H25" s="9">
        <f>Eligibility_Check!L25</f>
        <v/>
      </c>
    </row>
    <row r="26">
      <c r="A26" s="5">
        <f>RANK.EQ(G26,$G$2:$G$121,0)</f>
        <v/>
      </c>
      <c r="B26" s="6">
        <f>Raw_Data!A26</f>
        <v/>
      </c>
      <c r="C26" s="6">
        <f>Raw_Data!B26</f>
        <v/>
      </c>
      <c r="D26" s="6">
        <f>Raw_Data!C26</f>
        <v/>
      </c>
      <c r="E26" s="11">
        <f>ROUND(Technical_Scoring!H26*0.7,1)</f>
        <v/>
      </c>
      <c r="F26" s="11">
        <f>ROUND(Financial_Evaluation!D26*0.3,1)</f>
        <v/>
      </c>
      <c r="G26" s="11">
        <f>ROUND(E26+F26,1)</f>
        <v/>
      </c>
      <c r="H26" s="6">
        <f>Eligibility_Check!L26</f>
        <v/>
      </c>
    </row>
    <row r="27">
      <c r="A27" s="8">
        <f>RANK.EQ(G27,$G$2:$G$121,0)</f>
        <v/>
      </c>
      <c r="B27" s="9">
        <f>Raw_Data!A27</f>
        <v/>
      </c>
      <c r="C27" s="9">
        <f>Raw_Data!B27</f>
        <v/>
      </c>
      <c r="D27" s="9">
        <f>Raw_Data!C27</f>
        <v/>
      </c>
      <c r="E27" s="12">
        <f>ROUND(Technical_Scoring!H27*0.7,1)</f>
        <v/>
      </c>
      <c r="F27" s="12">
        <f>ROUND(Financial_Evaluation!D27*0.3,1)</f>
        <v/>
      </c>
      <c r="G27" s="12">
        <f>ROUND(E27+F27,1)</f>
        <v/>
      </c>
      <c r="H27" s="9">
        <f>Eligibility_Check!L27</f>
        <v/>
      </c>
    </row>
    <row r="28">
      <c r="A28" s="5">
        <f>RANK.EQ(G28,$G$2:$G$121,0)</f>
        <v/>
      </c>
      <c r="B28" s="6">
        <f>Raw_Data!A28</f>
        <v/>
      </c>
      <c r="C28" s="6">
        <f>Raw_Data!B28</f>
        <v/>
      </c>
      <c r="D28" s="6">
        <f>Raw_Data!C28</f>
        <v/>
      </c>
      <c r="E28" s="11">
        <f>ROUND(Technical_Scoring!H28*0.7,1)</f>
        <v/>
      </c>
      <c r="F28" s="11">
        <f>ROUND(Financial_Evaluation!D28*0.3,1)</f>
        <v/>
      </c>
      <c r="G28" s="11">
        <f>ROUND(E28+F28,1)</f>
        <v/>
      </c>
      <c r="H28" s="6">
        <f>Eligibility_Check!L28</f>
        <v/>
      </c>
    </row>
    <row r="29">
      <c r="A29" s="8">
        <f>RANK.EQ(G29,$G$2:$G$121,0)</f>
        <v/>
      </c>
      <c r="B29" s="9">
        <f>Raw_Data!A29</f>
        <v/>
      </c>
      <c r="C29" s="9">
        <f>Raw_Data!B29</f>
        <v/>
      </c>
      <c r="D29" s="9">
        <f>Raw_Data!C29</f>
        <v/>
      </c>
      <c r="E29" s="12">
        <f>ROUND(Technical_Scoring!H29*0.7,1)</f>
        <v/>
      </c>
      <c r="F29" s="12">
        <f>ROUND(Financial_Evaluation!D29*0.3,1)</f>
        <v/>
      </c>
      <c r="G29" s="12">
        <f>ROUND(E29+F29,1)</f>
        <v/>
      </c>
      <c r="H29" s="9">
        <f>Eligibility_Check!L29</f>
        <v/>
      </c>
    </row>
    <row r="30">
      <c r="A30" s="5">
        <f>RANK.EQ(G30,$G$2:$G$121,0)</f>
        <v/>
      </c>
      <c r="B30" s="6">
        <f>Raw_Data!A30</f>
        <v/>
      </c>
      <c r="C30" s="6">
        <f>Raw_Data!B30</f>
        <v/>
      </c>
      <c r="D30" s="6">
        <f>Raw_Data!C30</f>
        <v/>
      </c>
      <c r="E30" s="11">
        <f>ROUND(Technical_Scoring!H30*0.7,1)</f>
        <v/>
      </c>
      <c r="F30" s="11">
        <f>ROUND(Financial_Evaluation!D30*0.3,1)</f>
        <v/>
      </c>
      <c r="G30" s="11">
        <f>ROUND(E30+F30,1)</f>
        <v/>
      </c>
      <c r="H30" s="6">
        <f>Eligibility_Check!L30</f>
        <v/>
      </c>
    </row>
    <row r="31">
      <c r="A31" s="8">
        <f>RANK.EQ(G31,$G$2:$G$121,0)</f>
        <v/>
      </c>
      <c r="B31" s="9">
        <f>Raw_Data!A31</f>
        <v/>
      </c>
      <c r="C31" s="9">
        <f>Raw_Data!B31</f>
        <v/>
      </c>
      <c r="D31" s="9">
        <f>Raw_Data!C31</f>
        <v/>
      </c>
      <c r="E31" s="12">
        <f>ROUND(Technical_Scoring!H31*0.7,1)</f>
        <v/>
      </c>
      <c r="F31" s="12">
        <f>ROUND(Financial_Evaluation!D31*0.3,1)</f>
        <v/>
      </c>
      <c r="G31" s="12">
        <f>ROUND(E31+F31,1)</f>
        <v/>
      </c>
      <c r="H31" s="9">
        <f>Eligibility_Check!L31</f>
        <v/>
      </c>
    </row>
    <row r="32">
      <c r="A32" s="5">
        <f>RANK.EQ(G32,$G$2:$G$121,0)</f>
        <v/>
      </c>
      <c r="B32" s="6">
        <f>Raw_Data!A32</f>
        <v/>
      </c>
      <c r="C32" s="6">
        <f>Raw_Data!B32</f>
        <v/>
      </c>
      <c r="D32" s="6">
        <f>Raw_Data!C32</f>
        <v/>
      </c>
      <c r="E32" s="11">
        <f>ROUND(Technical_Scoring!H32*0.7,1)</f>
        <v/>
      </c>
      <c r="F32" s="11">
        <f>ROUND(Financial_Evaluation!D32*0.3,1)</f>
        <v/>
      </c>
      <c r="G32" s="11">
        <f>ROUND(E32+F32,1)</f>
        <v/>
      </c>
      <c r="H32" s="6">
        <f>Eligibility_Check!L32</f>
        <v/>
      </c>
    </row>
    <row r="33">
      <c r="A33" s="8">
        <f>RANK.EQ(G33,$G$2:$G$121,0)</f>
        <v/>
      </c>
      <c r="B33" s="9">
        <f>Raw_Data!A33</f>
        <v/>
      </c>
      <c r="C33" s="9">
        <f>Raw_Data!B33</f>
        <v/>
      </c>
      <c r="D33" s="9">
        <f>Raw_Data!C33</f>
        <v/>
      </c>
      <c r="E33" s="12">
        <f>ROUND(Technical_Scoring!H33*0.7,1)</f>
        <v/>
      </c>
      <c r="F33" s="12">
        <f>ROUND(Financial_Evaluation!D33*0.3,1)</f>
        <v/>
      </c>
      <c r="G33" s="12">
        <f>ROUND(E33+F33,1)</f>
        <v/>
      </c>
      <c r="H33" s="9">
        <f>Eligibility_Check!L33</f>
        <v/>
      </c>
    </row>
    <row r="34">
      <c r="A34" s="5">
        <f>RANK.EQ(G34,$G$2:$G$121,0)</f>
        <v/>
      </c>
      <c r="B34" s="6">
        <f>Raw_Data!A34</f>
        <v/>
      </c>
      <c r="C34" s="6">
        <f>Raw_Data!B34</f>
        <v/>
      </c>
      <c r="D34" s="6">
        <f>Raw_Data!C34</f>
        <v/>
      </c>
      <c r="E34" s="11">
        <f>ROUND(Technical_Scoring!H34*0.7,1)</f>
        <v/>
      </c>
      <c r="F34" s="11">
        <f>ROUND(Financial_Evaluation!D34*0.3,1)</f>
        <v/>
      </c>
      <c r="G34" s="11">
        <f>ROUND(E34+F34,1)</f>
        <v/>
      </c>
      <c r="H34" s="6">
        <f>Eligibility_Check!L34</f>
        <v/>
      </c>
    </row>
    <row r="35">
      <c r="A35" s="8">
        <f>RANK.EQ(G35,$G$2:$G$121,0)</f>
        <v/>
      </c>
      <c r="B35" s="9">
        <f>Raw_Data!A35</f>
        <v/>
      </c>
      <c r="C35" s="9">
        <f>Raw_Data!B35</f>
        <v/>
      </c>
      <c r="D35" s="9">
        <f>Raw_Data!C35</f>
        <v/>
      </c>
      <c r="E35" s="12">
        <f>ROUND(Technical_Scoring!H35*0.7,1)</f>
        <v/>
      </c>
      <c r="F35" s="12">
        <f>ROUND(Financial_Evaluation!D35*0.3,1)</f>
        <v/>
      </c>
      <c r="G35" s="12">
        <f>ROUND(E35+F35,1)</f>
        <v/>
      </c>
      <c r="H35" s="9">
        <f>Eligibility_Check!L35</f>
        <v/>
      </c>
    </row>
    <row r="36">
      <c r="A36" s="5">
        <f>RANK.EQ(G36,$G$2:$G$121,0)</f>
        <v/>
      </c>
      <c r="B36" s="6">
        <f>Raw_Data!A36</f>
        <v/>
      </c>
      <c r="C36" s="6">
        <f>Raw_Data!B36</f>
        <v/>
      </c>
      <c r="D36" s="6">
        <f>Raw_Data!C36</f>
        <v/>
      </c>
      <c r="E36" s="11">
        <f>ROUND(Technical_Scoring!H36*0.7,1)</f>
        <v/>
      </c>
      <c r="F36" s="11">
        <f>ROUND(Financial_Evaluation!D36*0.3,1)</f>
        <v/>
      </c>
      <c r="G36" s="11">
        <f>ROUND(E36+F36,1)</f>
        <v/>
      </c>
      <c r="H36" s="6">
        <f>Eligibility_Check!L36</f>
        <v/>
      </c>
    </row>
    <row r="37">
      <c r="A37" s="8">
        <f>RANK.EQ(G37,$G$2:$G$121,0)</f>
        <v/>
      </c>
      <c r="B37" s="9">
        <f>Raw_Data!A37</f>
        <v/>
      </c>
      <c r="C37" s="9">
        <f>Raw_Data!B37</f>
        <v/>
      </c>
      <c r="D37" s="9">
        <f>Raw_Data!C37</f>
        <v/>
      </c>
      <c r="E37" s="12">
        <f>ROUND(Technical_Scoring!H37*0.7,1)</f>
        <v/>
      </c>
      <c r="F37" s="12">
        <f>ROUND(Financial_Evaluation!D37*0.3,1)</f>
        <v/>
      </c>
      <c r="G37" s="12">
        <f>ROUND(E37+F37,1)</f>
        <v/>
      </c>
      <c r="H37" s="9">
        <f>Eligibility_Check!L37</f>
        <v/>
      </c>
    </row>
    <row r="38">
      <c r="A38" s="5">
        <f>RANK.EQ(G38,$G$2:$G$121,0)</f>
        <v/>
      </c>
      <c r="B38" s="6">
        <f>Raw_Data!A38</f>
        <v/>
      </c>
      <c r="C38" s="6">
        <f>Raw_Data!B38</f>
        <v/>
      </c>
      <c r="D38" s="6">
        <f>Raw_Data!C38</f>
        <v/>
      </c>
      <c r="E38" s="11">
        <f>ROUND(Technical_Scoring!H38*0.7,1)</f>
        <v/>
      </c>
      <c r="F38" s="11">
        <f>ROUND(Financial_Evaluation!D38*0.3,1)</f>
        <v/>
      </c>
      <c r="G38" s="11">
        <f>ROUND(E38+F38,1)</f>
        <v/>
      </c>
      <c r="H38" s="6">
        <f>Eligibility_Check!L38</f>
        <v/>
      </c>
    </row>
    <row r="39">
      <c r="A39" s="8">
        <f>RANK.EQ(G39,$G$2:$G$121,0)</f>
        <v/>
      </c>
      <c r="B39" s="9">
        <f>Raw_Data!A39</f>
        <v/>
      </c>
      <c r="C39" s="9">
        <f>Raw_Data!B39</f>
        <v/>
      </c>
      <c r="D39" s="9">
        <f>Raw_Data!C39</f>
        <v/>
      </c>
      <c r="E39" s="12">
        <f>ROUND(Technical_Scoring!H39*0.7,1)</f>
        <v/>
      </c>
      <c r="F39" s="12">
        <f>ROUND(Financial_Evaluation!D39*0.3,1)</f>
        <v/>
      </c>
      <c r="G39" s="12">
        <f>ROUND(E39+F39,1)</f>
        <v/>
      </c>
      <c r="H39" s="9">
        <f>Eligibility_Check!L39</f>
        <v/>
      </c>
    </row>
    <row r="40">
      <c r="A40" s="5">
        <f>RANK.EQ(G40,$G$2:$G$121,0)</f>
        <v/>
      </c>
      <c r="B40" s="6">
        <f>Raw_Data!A40</f>
        <v/>
      </c>
      <c r="C40" s="6">
        <f>Raw_Data!B40</f>
        <v/>
      </c>
      <c r="D40" s="6">
        <f>Raw_Data!C40</f>
        <v/>
      </c>
      <c r="E40" s="11">
        <f>ROUND(Technical_Scoring!H40*0.7,1)</f>
        <v/>
      </c>
      <c r="F40" s="11">
        <f>ROUND(Financial_Evaluation!D40*0.3,1)</f>
        <v/>
      </c>
      <c r="G40" s="11">
        <f>ROUND(E40+F40,1)</f>
        <v/>
      </c>
      <c r="H40" s="6">
        <f>Eligibility_Check!L40</f>
        <v/>
      </c>
    </row>
    <row r="41">
      <c r="A41" s="8">
        <f>RANK.EQ(G41,$G$2:$G$121,0)</f>
        <v/>
      </c>
      <c r="B41" s="9">
        <f>Raw_Data!A41</f>
        <v/>
      </c>
      <c r="C41" s="9">
        <f>Raw_Data!B41</f>
        <v/>
      </c>
      <c r="D41" s="9">
        <f>Raw_Data!C41</f>
        <v/>
      </c>
      <c r="E41" s="12">
        <f>ROUND(Technical_Scoring!H41*0.7,1)</f>
        <v/>
      </c>
      <c r="F41" s="12">
        <f>ROUND(Financial_Evaluation!D41*0.3,1)</f>
        <v/>
      </c>
      <c r="G41" s="12">
        <f>ROUND(E41+F41,1)</f>
        <v/>
      </c>
      <c r="H41" s="9">
        <f>Eligibility_Check!L41</f>
        <v/>
      </c>
    </row>
    <row r="42">
      <c r="A42" s="5">
        <f>RANK.EQ(G42,$G$2:$G$121,0)</f>
        <v/>
      </c>
      <c r="B42" s="6">
        <f>Raw_Data!A42</f>
        <v/>
      </c>
      <c r="C42" s="6">
        <f>Raw_Data!B42</f>
        <v/>
      </c>
      <c r="D42" s="6">
        <f>Raw_Data!C42</f>
        <v/>
      </c>
      <c r="E42" s="11">
        <f>ROUND(Technical_Scoring!H42*0.7,1)</f>
        <v/>
      </c>
      <c r="F42" s="11">
        <f>ROUND(Financial_Evaluation!D42*0.3,1)</f>
        <v/>
      </c>
      <c r="G42" s="11">
        <f>ROUND(E42+F42,1)</f>
        <v/>
      </c>
      <c r="H42" s="6">
        <f>Eligibility_Check!L42</f>
        <v/>
      </c>
    </row>
    <row r="43">
      <c r="A43" s="8">
        <f>RANK.EQ(G43,$G$2:$G$121,0)</f>
        <v/>
      </c>
      <c r="B43" s="9">
        <f>Raw_Data!A43</f>
        <v/>
      </c>
      <c r="C43" s="9">
        <f>Raw_Data!B43</f>
        <v/>
      </c>
      <c r="D43" s="9">
        <f>Raw_Data!C43</f>
        <v/>
      </c>
      <c r="E43" s="12">
        <f>ROUND(Technical_Scoring!H43*0.7,1)</f>
        <v/>
      </c>
      <c r="F43" s="12">
        <f>ROUND(Financial_Evaluation!D43*0.3,1)</f>
        <v/>
      </c>
      <c r="G43" s="12">
        <f>ROUND(E43+F43,1)</f>
        <v/>
      </c>
      <c r="H43" s="9">
        <f>Eligibility_Check!L43</f>
        <v/>
      </c>
    </row>
    <row r="44">
      <c r="A44" s="5">
        <f>RANK.EQ(G44,$G$2:$G$121,0)</f>
        <v/>
      </c>
      <c r="B44" s="6">
        <f>Raw_Data!A44</f>
        <v/>
      </c>
      <c r="C44" s="6">
        <f>Raw_Data!B44</f>
        <v/>
      </c>
      <c r="D44" s="6">
        <f>Raw_Data!C44</f>
        <v/>
      </c>
      <c r="E44" s="11">
        <f>ROUND(Technical_Scoring!H44*0.7,1)</f>
        <v/>
      </c>
      <c r="F44" s="11">
        <f>ROUND(Financial_Evaluation!D44*0.3,1)</f>
        <v/>
      </c>
      <c r="G44" s="11">
        <f>ROUND(E44+F44,1)</f>
        <v/>
      </c>
      <c r="H44" s="6">
        <f>Eligibility_Check!L44</f>
        <v/>
      </c>
    </row>
    <row r="45">
      <c r="A45" s="8">
        <f>RANK.EQ(G45,$G$2:$G$121,0)</f>
        <v/>
      </c>
      <c r="B45" s="9">
        <f>Raw_Data!A45</f>
        <v/>
      </c>
      <c r="C45" s="9">
        <f>Raw_Data!B45</f>
        <v/>
      </c>
      <c r="D45" s="9">
        <f>Raw_Data!C45</f>
        <v/>
      </c>
      <c r="E45" s="12">
        <f>ROUND(Technical_Scoring!H45*0.7,1)</f>
        <v/>
      </c>
      <c r="F45" s="12">
        <f>ROUND(Financial_Evaluation!D45*0.3,1)</f>
        <v/>
      </c>
      <c r="G45" s="12">
        <f>ROUND(E45+F45,1)</f>
        <v/>
      </c>
      <c r="H45" s="9">
        <f>Eligibility_Check!L45</f>
        <v/>
      </c>
    </row>
    <row r="46">
      <c r="A46" s="5">
        <f>RANK.EQ(G46,$G$2:$G$121,0)</f>
        <v/>
      </c>
      <c r="B46" s="6">
        <f>Raw_Data!A46</f>
        <v/>
      </c>
      <c r="C46" s="6">
        <f>Raw_Data!B46</f>
        <v/>
      </c>
      <c r="D46" s="6">
        <f>Raw_Data!C46</f>
        <v/>
      </c>
      <c r="E46" s="11">
        <f>ROUND(Technical_Scoring!H46*0.7,1)</f>
        <v/>
      </c>
      <c r="F46" s="11">
        <f>ROUND(Financial_Evaluation!D46*0.3,1)</f>
        <v/>
      </c>
      <c r="G46" s="11">
        <f>ROUND(E46+F46,1)</f>
        <v/>
      </c>
      <c r="H46" s="6">
        <f>Eligibility_Check!L46</f>
        <v/>
      </c>
    </row>
    <row r="47">
      <c r="A47" s="8">
        <f>RANK.EQ(G47,$G$2:$G$121,0)</f>
        <v/>
      </c>
      <c r="B47" s="9">
        <f>Raw_Data!A47</f>
        <v/>
      </c>
      <c r="C47" s="9">
        <f>Raw_Data!B47</f>
        <v/>
      </c>
      <c r="D47" s="9">
        <f>Raw_Data!C47</f>
        <v/>
      </c>
      <c r="E47" s="12">
        <f>ROUND(Technical_Scoring!H47*0.7,1)</f>
        <v/>
      </c>
      <c r="F47" s="12">
        <f>ROUND(Financial_Evaluation!D47*0.3,1)</f>
        <v/>
      </c>
      <c r="G47" s="12">
        <f>ROUND(E47+F47,1)</f>
        <v/>
      </c>
      <c r="H47" s="9">
        <f>Eligibility_Check!L47</f>
        <v/>
      </c>
    </row>
    <row r="48">
      <c r="A48" s="5">
        <f>RANK.EQ(G48,$G$2:$G$121,0)</f>
        <v/>
      </c>
      <c r="B48" s="6">
        <f>Raw_Data!A48</f>
        <v/>
      </c>
      <c r="C48" s="6">
        <f>Raw_Data!B48</f>
        <v/>
      </c>
      <c r="D48" s="6">
        <f>Raw_Data!C48</f>
        <v/>
      </c>
      <c r="E48" s="11">
        <f>ROUND(Technical_Scoring!H48*0.7,1)</f>
        <v/>
      </c>
      <c r="F48" s="11">
        <f>ROUND(Financial_Evaluation!D48*0.3,1)</f>
        <v/>
      </c>
      <c r="G48" s="11">
        <f>ROUND(E48+F48,1)</f>
        <v/>
      </c>
      <c r="H48" s="6">
        <f>Eligibility_Check!L48</f>
        <v/>
      </c>
    </row>
    <row r="49">
      <c r="A49" s="8">
        <f>RANK.EQ(G49,$G$2:$G$121,0)</f>
        <v/>
      </c>
      <c r="B49" s="9">
        <f>Raw_Data!A49</f>
        <v/>
      </c>
      <c r="C49" s="9">
        <f>Raw_Data!B49</f>
        <v/>
      </c>
      <c r="D49" s="9">
        <f>Raw_Data!C49</f>
        <v/>
      </c>
      <c r="E49" s="12">
        <f>ROUND(Technical_Scoring!H49*0.7,1)</f>
        <v/>
      </c>
      <c r="F49" s="12">
        <f>ROUND(Financial_Evaluation!D49*0.3,1)</f>
        <v/>
      </c>
      <c r="G49" s="12">
        <f>ROUND(E49+F49,1)</f>
        <v/>
      </c>
      <c r="H49" s="9">
        <f>Eligibility_Check!L49</f>
        <v/>
      </c>
    </row>
    <row r="50">
      <c r="A50" s="5">
        <f>RANK.EQ(G50,$G$2:$G$121,0)</f>
        <v/>
      </c>
      <c r="B50" s="6">
        <f>Raw_Data!A50</f>
        <v/>
      </c>
      <c r="C50" s="6">
        <f>Raw_Data!B50</f>
        <v/>
      </c>
      <c r="D50" s="6">
        <f>Raw_Data!C50</f>
        <v/>
      </c>
      <c r="E50" s="11">
        <f>ROUND(Technical_Scoring!H50*0.7,1)</f>
        <v/>
      </c>
      <c r="F50" s="11">
        <f>ROUND(Financial_Evaluation!D50*0.3,1)</f>
        <v/>
      </c>
      <c r="G50" s="11">
        <f>ROUND(E50+F50,1)</f>
        <v/>
      </c>
      <c r="H50" s="6">
        <f>Eligibility_Check!L50</f>
        <v/>
      </c>
    </row>
    <row r="51">
      <c r="A51" s="8">
        <f>RANK.EQ(G51,$G$2:$G$121,0)</f>
        <v/>
      </c>
      <c r="B51" s="9">
        <f>Raw_Data!A51</f>
        <v/>
      </c>
      <c r="C51" s="9">
        <f>Raw_Data!B51</f>
        <v/>
      </c>
      <c r="D51" s="9">
        <f>Raw_Data!C51</f>
        <v/>
      </c>
      <c r="E51" s="12">
        <f>ROUND(Technical_Scoring!H51*0.7,1)</f>
        <v/>
      </c>
      <c r="F51" s="12">
        <f>ROUND(Financial_Evaluation!D51*0.3,1)</f>
        <v/>
      </c>
      <c r="G51" s="12">
        <f>ROUND(E51+F51,1)</f>
        <v/>
      </c>
      <c r="H51" s="9">
        <f>Eligibility_Check!L51</f>
        <v/>
      </c>
    </row>
    <row r="52">
      <c r="A52" s="5">
        <f>RANK.EQ(G52,$G$2:$G$121,0)</f>
        <v/>
      </c>
      <c r="B52" s="6">
        <f>Raw_Data!A52</f>
        <v/>
      </c>
      <c r="C52" s="6">
        <f>Raw_Data!B52</f>
        <v/>
      </c>
      <c r="D52" s="6">
        <f>Raw_Data!C52</f>
        <v/>
      </c>
      <c r="E52" s="11">
        <f>ROUND(Technical_Scoring!H52*0.7,1)</f>
        <v/>
      </c>
      <c r="F52" s="11">
        <f>ROUND(Financial_Evaluation!D52*0.3,1)</f>
        <v/>
      </c>
      <c r="G52" s="11">
        <f>ROUND(E52+F52,1)</f>
        <v/>
      </c>
      <c r="H52" s="6">
        <f>Eligibility_Check!L52</f>
        <v/>
      </c>
    </row>
    <row r="53">
      <c r="A53" s="8">
        <f>RANK.EQ(G53,$G$2:$G$121,0)</f>
        <v/>
      </c>
      <c r="B53" s="9">
        <f>Raw_Data!A53</f>
        <v/>
      </c>
      <c r="C53" s="9">
        <f>Raw_Data!B53</f>
        <v/>
      </c>
      <c r="D53" s="9">
        <f>Raw_Data!C53</f>
        <v/>
      </c>
      <c r="E53" s="12">
        <f>ROUND(Technical_Scoring!H53*0.7,1)</f>
        <v/>
      </c>
      <c r="F53" s="12">
        <f>ROUND(Financial_Evaluation!D53*0.3,1)</f>
        <v/>
      </c>
      <c r="G53" s="12">
        <f>ROUND(E53+F53,1)</f>
        <v/>
      </c>
      <c r="H53" s="9">
        <f>Eligibility_Check!L53</f>
        <v/>
      </c>
    </row>
    <row r="54">
      <c r="A54" s="5">
        <f>RANK.EQ(G54,$G$2:$G$121,0)</f>
        <v/>
      </c>
      <c r="B54" s="6">
        <f>Raw_Data!A54</f>
        <v/>
      </c>
      <c r="C54" s="6">
        <f>Raw_Data!B54</f>
        <v/>
      </c>
      <c r="D54" s="6">
        <f>Raw_Data!C54</f>
        <v/>
      </c>
      <c r="E54" s="11">
        <f>ROUND(Technical_Scoring!H54*0.7,1)</f>
        <v/>
      </c>
      <c r="F54" s="11">
        <f>ROUND(Financial_Evaluation!D54*0.3,1)</f>
        <v/>
      </c>
      <c r="G54" s="11">
        <f>ROUND(E54+F54,1)</f>
        <v/>
      </c>
      <c r="H54" s="6">
        <f>Eligibility_Check!L54</f>
        <v/>
      </c>
    </row>
    <row r="55">
      <c r="A55" s="8">
        <f>RANK.EQ(G55,$G$2:$G$121,0)</f>
        <v/>
      </c>
      <c r="B55" s="9">
        <f>Raw_Data!A55</f>
        <v/>
      </c>
      <c r="C55" s="9">
        <f>Raw_Data!B55</f>
        <v/>
      </c>
      <c r="D55" s="9">
        <f>Raw_Data!C55</f>
        <v/>
      </c>
      <c r="E55" s="12">
        <f>ROUND(Technical_Scoring!H55*0.7,1)</f>
        <v/>
      </c>
      <c r="F55" s="12">
        <f>ROUND(Financial_Evaluation!D55*0.3,1)</f>
        <v/>
      </c>
      <c r="G55" s="12">
        <f>ROUND(E55+F55,1)</f>
        <v/>
      </c>
      <c r="H55" s="9">
        <f>Eligibility_Check!L55</f>
        <v/>
      </c>
    </row>
    <row r="56">
      <c r="A56" s="5">
        <f>RANK.EQ(G56,$G$2:$G$121,0)</f>
        <v/>
      </c>
      <c r="B56" s="6">
        <f>Raw_Data!A56</f>
        <v/>
      </c>
      <c r="C56" s="6">
        <f>Raw_Data!B56</f>
        <v/>
      </c>
      <c r="D56" s="6">
        <f>Raw_Data!C56</f>
        <v/>
      </c>
      <c r="E56" s="11">
        <f>ROUND(Technical_Scoring!H56*0.7,1)</f>
        <v/>
      </c>
      <c r="F56" s="11">
        <f>ROUND(Financial_Evaluation!D56*0.3,1)</f>
        <v/>
      </c>
      <c r="G56" s="11">
        <f>ROUND(E56+F56,1)</f>
        <v/>
      </c>
      <c r="H56" s="6">
        <f>Eligibility_Check!L56</f>
        <v/>
      </c>
    </row>
    <row r="57">
      <c r="A57" s="8">
        <f>RANK.EQ(G57,$G$2:$G$121,0)</f>
        <v/>
      </c>
      <c r="B57" s="9">
        <f>Raw_Data!A57</f>
        <v/>
      </c>
      <c r="C57" s="9">
        <f>Raw_Data!B57</f>
        <v/>
      </c>
      <c r="D57" s="9">
        <f>Raw_Data!C57</f>
        <v/>
      </c>
      <c r="E57" s="12">
        <f>ROUND(Technical_Scoring!H57*0.7,1)</f>
        <v/>
      </c>
      <c r="F57" s="12">
        <f>ROUND(Financial_Evaluation!D57*0.3,1)</f>
        <v/>
      </c>
      <c r="G57" s="12">
        <f>ROUND(E57+F57,1)</f>
        <v/>
      </c>
      <c r="H57" s="9">
        <f>Eligibility_Check!L57</f>
        <v/>
      </c>
    </row>
    <row r="58">
      <c r="A58" s="5">
        <f>RANK.EQ(G58,$G$2:$G$121,0)</f>
        <v/>
      </c>
      <c r="B58" s="6">
        <f>Raw_Data!A58</f>
        <v/>
      </c>
      <c r="C58" s="6">
        <f>Raw_Data!B58</f>
        <v/>
      </c>
      <c r="D58" s="6">
        <f>Raw_Data!C58</f>
        <v/>
      </c>
      <c r="E58" s="11">
        <f>ROUND(Technical_Scoring!H58*0.7,1)</f>
        <v/>
      </c>
      <c r="F58" s="11">
        <f>ROUND(Financial_Evaluation!D58*0.3,1)</f>
        <v/>
      </c>
      <c r="G58" s="11">
        <f>ROUND(E58+F58,1)</f>
        <v/>
      </c>
      <c r="H58" s="6">
        <f>Eligibility_Check!L58</f>
        <v/>
      </c>
    </row>
    <row r="59">
      <c r="A59" s="8">
        <f>RANK.EQ(G59,$G$2:$G$121,0)</f>
        <v/>
      </c>
      <c r="B59" s="9">
        <f>Raw_Data!A59</f>
        <v/>
      </c>
      <c r="C59" s="9">
        <f>Raw_Data!B59</f>
        <v/>
      </c>
      <c r="D59" s="9">
        <f>Raw_Data!C59</f>
        <v/>
      </c>
      <c r="E59" s="12">
        <f>ROUND(Technical_Scoring!H59*0.7,1)</f>
        <v/>
      </c>
      <c r="F59" s="12">
        <f>ROUND(Financial_Evaluation!D59*0.3,1)</f>
        <v/>
      </c>
      <c r="G59" s="12">
        <f>ROUND(E59+F59,1)</f>
        <v/>
      </c>
      <c r="H59" s="9">
        <f>Eligibility_Check!L59</f>
        <v/>
      </c>
    </row>
    <row r="60">
      <c r="A60" s="5">
        <f>RANK.EQ(G60,$G$2:$G$121,0)</f>
        <v/>
      </c>
      <c r="B60" s="6">
        <f>Raw_Data!A60</f>
        <v/>
      </c>
      <c r="C60" s="6">
        <f>Raw_Data!B60</f>
        <v/>
      </c>
      <c r="D60" s="6">
        <f>Raw_Data!C60</f>
        <v/>
      </c>
      <c r="E60" s="11">
        <f>ROUND(Technical_Scoring!H60*0.7,1)</f>
        <v/>
      </c>
      <c r="F60" s="11">
        <f>ROUND(Financial_Evaluation!D60*0.3,1)</f>
        <v/>
      </c>
      <c r="G60" s="11">
        <f>ROUND(E60+F60,1)</f>
        <v/>
      </c>
      <c r="H60" s="6">
        <f>Eligibility_Check!L60</f>
        <v/>
      </c>
    </row>
    <row r="61">
      <c r="A61" s="8">
        <f>RANK.EQ(G61,$G$2:$G$121,0)</f>
        <v/>
      </c>
      <c r="B61" s="9">
        <f>Raw_Data!A61</f>
        <v/>
      </c>
      <c r="C61" s="9">
        <f>Raw_Data!B61</f>
        <v/>
      </c>
      <c r="D61" s="9">
        <f>Raw_Data!C61</f>
        <v/>
      </c>
      <c r="E61" s="12">
        <f>ROUND(Technical_Scoring!H61*0.7,1)</f>
        <v/>
      </c>
      <c r="F61" s="12">
        <f>ROUND(Financial_Evaluation!D61*0.3,1)</f>
        <v/>
      </c>
      <c r="G61" s="12">
        <f>ROUND(E61+F61,1)</f>
        <v/>
      </c>
      <c r="H61" s="9">
        <f>Eligibility_Check!L61</f>
        <v/>
      </c>
    </row>
    <row r="62">
      <c r="A62" s="5">
        <f>RANK.EQ(G62,$G$2:$G$121,0)</f>
        <v/>
      </c>
      <c r="B62" s="6">
        <f>Raw_Data!A62</f>
        <v/>
      </c>
      <c r="C62" s="6">
        <f>Raw_Data!B62</f>
        <v/>
      </c>
      <c r="D62" s="6">
        <f>Raw_Data!C62</f>
        <v/>
      </c>
      <c r="E62" s="11">
        <f>ROUND(Technical_Scoring!H62*0.7,1)</f>
        <v/>
      </c>
      <c r="F62" s="11">
        <f>ROUND(Financial_Evaluation!D62*0.3,1)</f>
        <v/>
      </c>
      <c r="G62" s="11">
        <f>ROUND(E62+F62,1)</f>
        <v/>
      </c>
      <c r="H62" s="6">
        <f>Eligibility_Check!L62</f>
        <v/>
      </c>
    </row>
    <row r="63">
      <c r="A63" s="8">
        <f>RANK.EQ(G63,$G$2:$G$121,0)</f>
        <v/>
      </c>
      <c r="B63" s="9">
        <f>Raw_Data!A63</f>
        <v/>
      </c>
      <c r="C63" s="9">
        <f>Raw_Data!B63</f>
        <v/>
      </c>
      <c r="D63" s="9">
        <f>Raw_Data!C63</f>
        <v/>
      </c>
      <c r="E63" s="12">
        <f>ROUND(Technical_Scoring!H63*0.7,1)</f>
        <v/>
      </c>
      <c r="F63" s="12">
        <f>ROUND(Financial_Evaluation!D63*0.3,1)</f>
        <v/>
      </c>
      <c r="G63" s="12">
        <f>ROUND(E63+F63,1)</f>
        <v/>
      </c>
      <c r="H63" s="9">
        <f>Eligibility_Check!L63</f>
        <v/>
      </c>
    </row>
    <row r="64">
      <c r="A64" s="5">
        <f>RANK.EQ(G64,$G$2:$G$121,0)</f>
        <v/>
      </c>
      <c r="B64" s="6">
        <f>Raw_Data!A64</f>
        <v/>
      </c>
      <c r="C64" s="6">
        <f>Raw_Data!B64</f>
        <v/>
      </c>
      <c r="D64" s="6">
        <f>Raw_Data!C64</f>
        <v/>
      </c>
      <c r="E64" s="11">
        <f>ROUND(Technical_Scoring!H64*0.7,1)</f>
        <v/>
      </c>
      <c r="F64" s="11">
        <f>ROUND(Financial_Evaluation!D64*0.3,1)</f>
        <v/>
      </c>
      <c r="G64" s="11">
        <f>ROUND(E64+F64,1)</f>
        <v/>
      </c>
      <c r="H64" s="6">
        <f>Eligibility_Check!L64</f>
        <v/>
      </c>
    </row>
    <row r="65">
      <c r="A65" s="8">
        <f>RANK.EQ(G65,$G$2:$G$121,0)</f>
        <v/>
      </c>
      <c r="B65" s="9">
        <f>Raw_Data!A65</f>
        <v/>
      </c>
      <c r="C65" s="9">
        <f>Raw_Data!B65</f>
        <v/>
      </c>
      <c r="D65" s="9">
        <f>Raw_Data!C65</f>
        <v/>
      </c>
      <c r="E65" s="12">
        <f>ROUND(Technical_Scoring!H65*0.7,1)</f>
        <v/>
      </c>
      <c r="F65" s="12">
        <f>ROUND(Financial_Evaluation!D65*0.3,1)</f>
        <v/>
      </c>
      <c r="G65" s="12">
        <f>ROUND(E65+F65,1)</f>
        <v/>
      </c>
      <c r="H65" s="9">
        <f>Eligibility_Check!L65</f>
        <v/>
      </c>
    </row>
    <row r="66">
      <c r="A66" s="5">
        <f>RANK.EQ(G66,$G$2:$G$121,0)</f>
        <v/>
      </c>
      <c r="B66" s="6">
        <f>Raw_Data!A66</f>
        <v/>
      </c>
      <c r="C66" s="6">
        <f>Raw_Data!B66</f>
        <v/>
      </c>
      <c r="D66" s="6">
        <f>Raw_Data!C66</f>
        <v/>
      </c>
      <c r="E66" s="11">
        <f>ROUND(Technical_Scoring!H66*0.7,1)</f>
        <v/>
      </c>
      <c r="F66" s="11">
        <f>ROUND(Financial_Evaluation!D66*0.3,1)</f>
        <v/>
      </c>
      <c r="G66" s="11">
        <f>ROUND(E66+F66,1)</f>
        <v/>
      </c>
      <c r="H66" s="6">
        <f>Eligibility_Check!L66</f>
        <v/>
      </c>
    </row>
    <row r="67">
      <c r="A67" s="8">
        <f>RANK.EQ(G67,$G$2:$G$121,0)</f>
        <v/>
      </c>
      <c r="B67" s="9">
        <f>Raw_Data!A67</f>
        <v/>
      </c>
      <c r="C67" s="9">
        <f>Raw_Data!B67</f>
        <v/>
      </c>
      <c r="D67" s="9">
        <f>Raw_Data!C67</f>
        <v/>
      </c>
      <c r="E67" s="12">
        <f>ROUND(Technical_Scoring!H67*0.7,1)</f>
        <v/>
      </c>
      <c r="F67" s="12">
        <f>ROUND(Financial_Evaluation!D67*0.3,1)</f>
        <v/>
      </c>
      <c r="G67" s="12">
        <f>ROUND(E67+F67,1)</f>
        <v/>
      </c>
      <c r="H67" s="9">
        <f>Eligibility_Check!L67</f>
        <v/>
      </c>
    </row>
    <row r="68">
      <c r="A68" s="5">
        <f>RANK.EQ(G68,$G$2:$G$121,0)</f>
        <v/>
      </c>
      <c r="B68" s="6">
        <f>Raw_Data!A68</f>
        <v/>
      </c>
      <c r="C68" s="6">
        <f>Raw_Data!B68</f>
        <v/>
      </c>
      <c r="D68" s="6">
        <f>Raw_Data!C68</f>
        <v/>
      </c>
      <c r="E68" s="11">
        <f>ROUND(Technical_Scoring!H68*0.7,1)</f>
        <v/>
      </c>
      <c r="F68" s="11">
        <f>ROUND(Financial_Evaluation!D68*0.3,1)</f>
        <v/>
      </c>
      <c r="G68" s="11">
        <f>ROUND(E68+F68,1)</f>
        <v/>
      </c>
      <c r="H68" s="6">
        <f>Eligibility_Check!L68</f>
        <v/>
      </c>
    </row>
    <row r="69">
      <c r="A69" s="8">
        <f>RANK.EQ(G69,$G$2:$G$121,0)</f>
        <v/>
      </c>
      <c r="B69" s="9">
        <f>Raw_Data!A69</f>
        <v/>
      </c>
      <c r="C69" s="9">
        <f>Raw_Data!B69</f>
        <v/>
      </c>
      <c r="D69" s="9">
        <f>Raw_Data!C69</f>
        <v/>
      </c>
      <c r="E69" s="12">
        <f>ROUND(Technical_Scoring!H69*0.7,1)</f>
        <v/>
      </c>
      <c r="F69" s="12">
        <f>ROUND(Financial_Evaluation!D69*0.3,1)</f>
        <v/>
      </c>
      <c r="G69" s="12">
        <f>ROUND(E69+F69,1)</f>
        <v/>
      </c>
      <c r="H69" s="9">
        <f>Eligibility_Check!L69</f>
        <v/>
      </c>
    </row>
    <row r="70">
      <c r="A70" s="5">
        <f>RANK.EQ(G70,$G$2:$G$121,0)</f>
        <v/>
      </c>
      <c r="B70" s="6">
        <f>Raw_Data!A70</f>
        <v/>
      </c>
      <c r="C70" s="6">
        <f>Raw_Data!B70</f>
        <v/>
      </c>
      <c r="D70" s="6">
        <f>Raw_Data!C70</f>
        <v/>
      </c>
      <c r="E70" s="11">
        <f>ROUND(Technical_Scoring!H70*0.7,1)</f>
        <v/>
      </c>
      <c r="F70" s="11">
        <f>ROUND(Financial_Evaluation!D70*0.3,1)</f>
        <v/>
      </c>
      <c r="G70" s="11">
        <f>ROUND(E70+F70,1)</f>
        <v/>
      </c>
      <c r="H70" s="6">
        <f>Eligibility_Check!L70</f>
        <v/>
      </c>
    </row>
    <row r="71">
      <c r="A71" s="8">
        <f>RANK.EQ(G71,$G$2:$G$121,0)</f>
        <v/>
      </c>
      <c r="B71" s="9">
        <f>Raw_Data!A71</f>
        <v/>
      </c>
      <c r="C71" s="9">
        <f>Raw_Data!B71</f>
        <v/>
      </c>
      <c r="D71" s="9">
        <f>Raw_Data!C71</f>
        <v/>
      </c>
      <c r="E71" s="12">
        <f>ROUND(Technical_Scoring!H71*0.7,1)</f>
        <v/>
      </c>
      <c r="F71" s="12">
        <f>ROUND(Financial_Evaluation!D71*0.3,1)</f>
        <v/>
      </c>
      <c r="G71" s="12">
        <f>ROUND(E71+F71,1)</f>
        <v/>
      </c>
      <c r="H71" s="9">
        <f>Eligibility_Check!L71</f>
        <v/>
      </c>
    </row>
    <row r="72">
      <c r="A72" s="5">
        <f>RANK.EQ(G72,$G$2:$G$121,0)</f>
        <v/>
      </c>
      <c r="B72" s="6">
        <f>Raw_Data!A72</f>
        <v/>
      </c>
      <c r="C72" s="6">
        <f>Raw_Data!B72</f>
        <v/>
      </c>
      <c r="D72" s="6">
        <f>Raw_Data!C72</f>
        <v/>
      </c>
      <c r="E72" s="11">
        <f>ROUND(Technical_Scoring!H72*0.7,1)</f>
        <v/>
      </c>
      <c r="F72" s="11">
        <f>ROUND(Financial_Evaluation!D72*0.3,1)</f>
        <v/>
      </c>
      <c r="G72" s="11">
        <f>ROUND(E72+F72,1)</f>
        <v/>
      </c>
      <c r="H72" s="6">
        <f>Eligibility_Check!L72</f>
        <v/>
      </c>
    </row>
    <row r="73">
      <c r="A73" s="8">
        <f>RANK.EQ(G73,$G$2:$G$121,0)</f>
        <v/>
      </c>
      <c r="B73" s="9">
        <f>Raw_Data!A73</f>
        <v/>
      </c>
      <c r="C73" s="9">
        <f>Raw_Data!B73</f>
        <v/>
      </c>
      <c r="D73" s="9">
        <f>Raw_Data!C73</f>
        <v/>
      </c>
      <c r="E73" s="12">
        <f>ROUND(Technical_Scoring!H73*0.7,1)</f>
        <v/>
      </c>
      <c r="F73" s="12">
        <f>ROUND(Financial_Evaluation!D73*0.3,1)</f>
        <v/>
      </c>
      <c r="G73" s="12">
        <f>ROUND(E73+F73,1)</f>
        <v/>
      </c>
      <c r="H73" s="9">
        <f>Eligibility_Check!L73</f>
        <v/>
      </c>
    </row>
    <row r="74">
      <c r="A74" s="5">
        <f>RANK.EQ(G74,$G$2:$G$121,0)</f>
        <v/>
      </c>
      <c r="B74" s="6">
        <f>Raw_Data!A74</f>
        <v/>
      </c>
      <c r="C74" s="6">
        <f>Raw_Data!B74</f>
        <v/>
      </c>
      <c r="D74" s="6">
        <f>Raw_Data!C74</f>
        <v/>
      </c>
      <c r="E74" s="11">
        <f>ROUND(Technical_Scoring!H74*0.7,1)</f>
        <v/>
      </c>
      <c r="F74" s="11">
        <f>ROUND(Financial_Evaluation!D74*0.3,1)</f>
        <v/>
      </c>
      <c r="G74" s="11">
        <f>ROUND(E74+F74,1)</f>
        <v/>
      </c>
      <c r="H74" s="6">
        <f>Eligibility_Check!L74</f>
        <v/>
      </c>
    </row>
    <row r="75">
      <c r="A75" s="8">
        <f>RANK.EQ(G75,$G$2:$G$121,0)</f>
        <v/>
      </c>
      <c r="B75" s="9">
        <f>Raw_Data!A75</f>
        <v/>
      </c>
      <c r="C75" s="9">
        <f>Raw_Data!B75</f>
        <v/>
      </c>
      <c r="D75" s="9">
        <f>Raw_Data!C75</f>
        <v/>
      </c>
      <c r="E75" s="12">
        <f>ROUND(Technical_Scoring!H75*0.7,1)</f>
        <v/>
      </c>
      <c r="F75" s="12">
        <f>ROUND(Financial_Evaluation!D75*0.3,1)</f>
        <v/>
      </c>
      <c r="G75" s="12">
        <f>ROUND(E75+F75,1)</f>
        <v/>
      </c>
      <c r="H75" s="9">
        <f>Eligibility_Check!L75</f>
        <v/>
      </c>
    </row>
    <row r="76">
      <c r="A76" s="5">
        <f>RANK.EQ(G76,$G$2:$G$121,0)</f>
        <v/>
      </c>
      <c r="B76" s="6">
        <f>Raw_Data!A76</f>
        <v/>
      </c>
      <c r="C76" s="6">
        <f>Raw_Data!B76</f>
        <v/>
      </c>
      <c r="D76" s="6">
        <f>Raw_Data!C76</f>
        <v/>
      </c>
      <c r="E76" s="11">
        <f>ROUND(Technical_Scoring!H76*0.7,1)</f>
        <v/>
      </c>
      <c r="F76" s="11">
        <f>ROUND(Financial_Evaluation!D76*0.3,1)</f>
        <v/>
      </c>
      <c r="G76" s="11">
        <f>ROUND(E76+F76,1)</f>
        <v/>
      </c>
      <c r="H76" s="6">
        <f>Eligibility_Check!L76</f>
        <v/>
      </c>
    </row>
    <row r="77">
      <c r="A77" s="8">
        <f>RANK.EQ(G77,$G$2:$G$121,0)</f>
        <v/>
      </c>
      <c r="B77" s="9">
        <f>Raw_Data!A77</f>
        <v/>
      </c>
      <c r="C77" s="9">
        <f>Raw_Data!B77</f>
        <v/>
      </c>
      <c r="D77" s="9">
        <f>Raw_Data!C77</f>
        <v/>
      </c>
      <c r="E77" s="12">
        <f>ROUND(Technical_Scoring!H77*0.7,1)</f>
        <v/>
      </c>
      <c r="F77" s="12">
        <f>ROUND(Financial_Evaluation!D77*0.3,1)</f>
        <v/>
      </c>
      <c r="G77" s="12">
        <f>ROUND(E77+F77,1)</f>
        <v/>
      </c>
      <c r="H77" s="9">
        <f>Eligibility_Check!L77</f>
        <v/>
      </c>
    </row>
    <row r="78">
      <c r="A78" s="5">
        <f>RANK.EQ(G78,$G$2:$G$121,0)</f>
        <v/>
      </c>
      <c r="B78" s="6">
        <f>Raw_Data!A78</f>
        <v/>
      </c>
      <c r="C78" s="6">
        <f>Raw_Data!B78</f>
        <v/>
      </c>
      <c r="D78" s="6">
        <f>Raw_Data!C78</f>
        <v/>
      </c>
      <c r="E78" s="11">
        <f>ROUND(Technical_Scoring!H78*0.7,1)</f>
        <v/>
      </c>
      <c r="F78" s="11">
        <f>ROUND(Financial_Evaluation!D78*0.3,1)</f>
        <v/>
      </c>
      <c r="G78" s="11">
        <f>ROUND(E78+F78,1)</f>
        <v/>
      </c>
      <c r="H78" s="6">
        <f>Eligibility_Check!L78</f>
        <v/>
      </c>
    </row>
    <row r="79">
      <c r="A79" s="8">
        <f>RANK.EQ(G79,$G$2:$G$121,0)</f>
        <v/>
      </c>
      <c r="B79" s="9">
        <f>Raw_Data!A79</f>
        <v/>
      </c>
      <c r="C79" s="9">
        <f>Raw_Data!B79</f>
        <v/>
      </c>
      <c r="D79" s="9">
        <f>Raw_Data!C79</f>
        <v/>
      </c>
      <c r="E79" s="12">
        <f>ROUND(Technical_Scoring!H79*0.7,1)</f>
        <v/>
      </c>
      <c r="F79" s="12">
        <f>ROUND(Financial_Evaluation!D79*0.3,1)</f>
        <v/>
      </c>
      <c r="G79" s="12">
        <f>ROUND(E79+F79,1)</f>
        <v/>
      </c>
      <c r="H79" s="9">
        <f>Eligibility_Check!L79</f>
        <v/>
      </c>
    </row>
    <row r="80">
      <c r="A80" s="5">
        <f>RANK.EQ(G80,$G$2:$G$121,0)</f>
        <v/>
      </c>
      <c r="B80" s="6">
        <f>Raw_Data!A80</f>
        <v/>
      </c>
      <c r="C80" s="6">
        <f>Raw_Data!B80</f>
        <v/>
      </c>
      <c r="D80" s="6">
        <f>Raw_Data!C80</f>
        <v/>
      </c>
      <c r="E80" s="11">
        <f>ROUND(Technical_Scoring!H80*0.7,1)</f>
        <v/>
      </c>
      <c r="F80" s="11">
        <f>ROUND(Financial_Evaluation!D80*0.3,1)</f>
        <v/>
      </c>
      <c r="G80" s="11">
        <f>ROUND(E80+F80,1)</f>
        <v/>
      </c>
      <c r="H80" s="6">
        <f>Eligibility_Check!L80</f>
        <v/>
      </c>
    </row>
    <row r="81">
      <c r="A81" s="8">
        <f>RANK.EQ(G81,$G$2:$G$121,0)</f>
        <v/>
      </c>
      <c r="B81" s="9">
        <f>Raw_Data!A81</f>
        <v/>
      </c>
      <c r="C81" s="9">
        <f>Raw_Data!B81</f>
        <v/>
      </c>
      <c r="D81" s="9">
        <f>Raw_Data!C81</f>
        <v/>
      </c>
      <c r="E81" s="12">
        <f>ROUND(Technical_Scoring!H81*0.7,1)</f>
        <v/>
      </c>
      <c r="F81" s="12">
        <f>ROUND(Financial_Evaluation!D81*0.3,1)</f>
        <v/>
      </c>
      <c r="G81" s="12">
        <f>ROUND(E81+F81,1)</f>
        <v/>
      </c>
      <c r="H81" s="9">
        <f>Eligibility_Check!L81</f>
        <v/>
      </c>
    </row>
    <row r="82">
      <c r="A82" s="5">
        <f>RANK.EQ(G82,$G$2:$G$121,0)</f>
        <v/>
      </c>
      <c r="B82" s="6">
        <f>Raw_Data!A82</f>
        <v/>
      </c>
      <c r="C82" s="6">
        <f>Raw_Data!B82</f>
        <v/>
      </c>
      <c r="D82" s="6">
        <f>Raw_Data!C82</f>
        <v/>
      </c>
      <c r="E82" s="11">
        <f>ROUND(Technical_Scoring!H82*0.7,1)</f>
        <v/>
      </c>
      <c r="F82" s="11">
        <f>ROUND(Financial_Evaluation!D82*0.3,1)</f>
        <v/>
      </c>
      <c r="G82" s="11">
        <f>ROUND(E82+F82,1)</f>
        <v/>
      </c>
      <c r="H82" s="6">
        <f>Eligibility_Check!L82</f>
        <v/>
      </c>
    </row>
    <row r="83">
      <c r="A83" s="8">
        <f>RANK.EQ(G83,$G$2:$G$121,0)</f>
        <v/>
      </c>
      <c r="B83" s="9">
        <f>Raw_Data!A83</f>
        <v/>
      </c>
      <c r="C83" s="9">
        <f>Raw_Data!B83</f>
        <v/>
      </c>
      <c r="D83" s="9">
        <f>Raw_Data!C83</f>
        <v/>
      </c>
      <c r="E83" s="12">
        <f>ROUND(Technical_Scoring!H83*0.7,1)</f>
        <v/>
      </c>
      <c r="F83" s="12">
        <f>ROUND(Financial_Evaluation!D83*0.3,1)</f>
        <v/>
      </c>
      <c r="G83" s="12">
        <f>ROUND(E83+F83,1)</f>
        <v/>
      </c>
      <c r="H83" s="9">
        <f>Eligibility_Check!L83</f>
        <v/>
      </c>
    </row>
    <row r="84">
      <c r="A84" s="5">
        <f>RANK.EQ(G84,$G$2:$G$121,0)</f>
        <v/>
      </c>
      <c r="B84" s="6">
        <f>Raw_Data!A84</f>
        <v/>
      </c>
      <c r="C84" s="6">
        <f>Raw_Data!B84</f>
        <v/>
      </c>
      <c r="D84" s="6">
        <f>Raw_Data!C84</f>
        <v/>
      </c>
      <c r="E84" s="11">
        <f>ROUND(Technical_Scoring!H84*0.7,1)</f>
        <v/>
      </c>
      <c r="F84" s="11">
        <f>ROUND(Financial_Evaluation!D84*0.3,1)</f>
        <v/>
      </c>
      <c r="G84" s="11">
        <f>ROUND(E84+F84,1)</f>
        <v/>
      </c>
      <c r="H84" s="6">
        <f>Eligibility_Check!L84</f>
        <v/>
      </c>
    </row>
    <row r="85">
      <c r="A85" s="8">
        <f>RANK.EQ(G85,$G$2:$G$121,0)</f>
        <v/>
      </c>
      <c r="B85" s="9">
        <f>Raw_Data!A85</f>
        <v/>
      </c>
      <c r="C85" s="9">
        <f>Raw_Data!B85</f>
        <v/>
      </c>
      <c r="D85" s="9">
        <f>Raw_Data!C85</f>
        <v/>
      </c>
      <c r="E85" s="12">
        <f>ROUND(Technical_Scoring!H85*0.7,1)</f>
        <v/>
      </c>
      <c r="F85" s="12">
        <f>ROUND(Financial_Evaluation!D85*0.3,1)</f>
        <v/>
      </c>
      <c r="G85" s="12">
        <f>ROUND(E85+F85,1)</f>
        <v/>
      </c>
      <c r="H85" s="9">
        <f>Eligibility_Check!L85</f>
        <v/>
      </c>
    </row>
    <row r="86">
      <c r="A86" s="5">
        <f>RANK.EQ(G86,$G$2:$G$121,0)</f>
        <v/>
      </c>
      <c r="B86" s="6">
        <f>Raw_Data!A86</f>
        <v/>
      </c>
      <c r="C86" s="6">
        <f>Raw_Data!B86</f>
        <v/>
      </c>
      <c r="D86" s="6">
        <f>Raw_Data!C86</f>
        <v/>
      </c>
      <c r="E86" s="11">
        <f>ROUND(Technical_Scoring!H86*0.7,1)</f>
        <v/>
      </c>
      <c r="F86" s="11">
        <f>ROUND(Financial_Evaluation!D86*0.3,1)</f>
        <v/>
      </c>
      <c r="G86" s="11">
        <f>ROUND(E86+F86,1)</f>
        <v/>
      </c>
      <c r="H86" s="6">
        <f>Eligibility_Check!L86</f>
        <v/>
      </c>
    </row>
    <row r="87">
      <c r="A87" s="8">
        <f>RANK.EQ(G87,$G$2:$G$121,0)</f>
        <v/>
      </c>
      <c r="B87" s="9">
        <f>Raw_Data!A87</f>
        <v/>
      </c>
      <c r="C87" s="9">
        <f>Raw_Data!B87</f>
        <v/>
      </c>
      <c r="D87" s="9">
        <f>Raw_Data!C87</f>
        <v/>
      </c>
      <c r="E87" s="12">
        <f>ROUND(Technical_Scoring!H87*0.7,1)</f>
        <v/>
      </c>
      <c r="F87" s="12">
        <f>ROUND(Financial_Evaluation!D87*0.3,1)</f>
        <v/>
      </c>
      <c r="G87" s="12">
        <f>ROUND(E87+F87,1)</f>
        <v/>
      </c>
      <c r="H87" s="9">
        <f>Eligibility_Check!L87</f>
        <v/>
      </c>
    </row>
    <row r="88">
      <c r="A88" s="5">
        <f>RANK.EQ(G88,$G$2:$G$121,0)</f>
        <v/>
      </c>
      <c r="B88" s="6">
        <f>Raw_Data!A88</f>
        <v/>
      </c>
      <c r="C88" s="6">
        <f>Raw_Data!B88</f>
        <v/>
      </c>
      <c r="D88" s="6">
        <f>Raw_Data!C88</f>
        <v/>
      </c>
      <c r="E88" s="11">
        <f>ROUND(Technical_Scoring!H88*0.7,1)</f>
        <v/>
      </c>
      <c r="F88" s="11">
        <f>ROUND(Financial_Evaluation!D88*0.3,1)</f>
        <v/>
      </c>
      <c r="G88" s="11">
        <f>ROUND(E88+F88,1)</f>
        <v/>
      </c>
      <c r="H88" s="6">
        <f>Eligibility_Check!L88</f>
        <v/>
      </c>
    </row>
    <row r="89">
      <c r="A89" s="8">
        <f>RANK.EQ(G89,$G$2:$G$121,0)</f>
        <v/>
      </c>
      <c r="B89" s="9">
        <f>Raw_Data!A89</f>
        <v/>
      </c>
      <c r="C89" s="9">
        <f>Raw_Data!B89</f>
        <v/>
      </c>
      <c r="D89" s="9">
        <f>Raw_Data!C89</f>
        <v/>
      </c>
      <c r="E89" s="12">
        <f>ROUND(Technical_Scoring!H89*0.7,1)</f>
        <v/>
      </c>
      <c r="F89" s="12">
        <f>ROUND(Financial_Evaluation!D89*0.3,1)</f>
        <v/>
      </c>
      <c r="G89" s="12">
        <f>ROUND(E89+F89,1)</f>
        <v/>
      </c>
      <c r="H89" s="9">
        <f>Eligibility_Check!L89</f>
        <v/>
      </c>
    </row>
    <row r="90">
      <c r="A90" s="5">
        <f>RANK.EQ(G90,$G$2:$G$121,0)</f>
        <v/>
      </c>
      <c r="B90" s="6">
        <f>Raw_Data!A90</f>
        <v/>
      </c>
      <c r="C90" s="6">
        <f>Raw_Data!B90</f>
        <v/>
      </c>
      <c r="D90" s="6">
        <f>Raw_Data!C90</f>
        <v/>
      </c>
      <c r="E90" s="11">
        <f>ROUND(Technical_Scoring!H90*0.7,1)</f>
        <v/>
      </c>
      <c r="F90" s="11">
        <f>ROUND(Financial_Evaluation!D90*0.3,1)</f>
        <v/>
      </c>
      <c r="G90" s="11">
        <f>ROUND(E90+F90,1)</f>
        <v/>
      </c>
      <c r="H90" s="6">
        <f>Eligibility_Check!L90</f>
        <v/>
      </c>
    </row>
    <row r="91">
      <c r="A91" s="8">
        <f>RANK.EQ(G91,$G$2:$G$121,0)</f>
        <v/>
      </c>
      <c r="B91" s="9">
        <f>Raw_Data!A91</f>
        <v/>
      </c>
      <c r="C91" s="9">
        <f>Raw_Data!B91</f>
        <v/>
      </c>
      <c r="D91" s="9">
        <f>Raw_Data!C91</f>
        <v/>
      </c>
      <c r="E91" s="12">
        <f>ROUND(Technical_Scoring!H91*0.7,1)</f>
        <v/>
      </c>
      <c r="F91" s="12">
        <f>ROUND(Financial_Evaluation!D91*0.3,1)</f>
        <v/>
      </c>
      <c r="G91" s="12">
        <f>ROUND(E91+F91,1)</f>
        <v/>
      </c>
      <c r="H91" s="9">
        <f>Eligibility_Check!L91</f>
        <v/>
      </c>
    </row>
    <row r="92">
      <c r="A92" s="5">
        <f>RANK.EQ(G92,$G$2:$G$121,0)</f>
        <v/>
      </c>
      <c r="B92" s="6">
        <f>Raw_Data!A92</f>
        <v/>
      </c>
      <c r="C92" s="6">
        <f>Raw_Data!B92</f>
        <v/>
      </c>
      <c r="D92" s="6">
        <f>Raw_Data!C92</f>
        <v/>
      </c>
      <c r="E92" s="11">
        <f>ROUND(Technical_Scoring!H92*0.7,1)</f>
        <v/>
      </c>
      <c r="F92" s="11">
        <f>ROUND(Financial_Evaluation!D92*0.3,1)</f>
        <v/>
      </c>
      <c r="G92" s="11">
        <f>ROUND(E92+F92,1)</f>
        <v/>
      </c>
      <c r="H92" s="6">
        <f>Eligibility_Check!L92</f>
        <v/>
      </c>
    </row>
    <row r="93">
      <c r="A93" s="8">
        <f>RANK.EQ(G93,$G$2:$G$121,0)</f>
        <v/>
      </c>
      <c r="B93" s="9">
        <f>Raw_Data!A93</f>
        <v/>
      </c>
      <c r="C93" s="9">
        <f>Raw_Data!B93</f>
        <v/>
      </c>
      <c r="D93" s="9">
        <f>Raw_Data!C93</f>
        <v/>
      </c>
      <c r="E93" s="12">
        <f>ROUND(Technical_Scoring!H93*0.7,1)</f>
        <v/>
      </c>
      <c r="F93" s="12">
        <f>ROUND(Financial_Evaluation!D93*0.3,1)</f>
        <v/>
      </c>
      <c r="G93" s="12">
        <f>ROUND(E93+F93,1)</f>
        <v/>
      </c>
      <c r="H93" s="9">
        <f>Eligibility_Check!L93</f>
        <v/>
      </c>
    </row>
    <row r="94">
      <c r="A94" s="5">
        <f>RANK.EQ(G94,$G$2:$G$121,0)</f>
        <v/>
      </c>
      <c r="B94" s="6">
        <f>Raw_Data!A94</f>
        <v/>
      </c>
      <c r="C94" s="6">
        <f>Raw_Data!B94</f>
        <v/>
      </c>
      <c r="D94" s="6">
        <f>Raw_Data!C94</f>
        <v/>
      </c>
      <c r="E94" s="11">
        <f>ROUND(Technical_Scoring!H94*0.7,1)</f>
        <v/>
      </c>
      <c r="F94" s="11">
        <f>ROUND(Financial_Evaluation!D94*0.3,1)</f>
        <v/>
      </c>
      <c r="G94" s="11">
        <f>ROUND(E94+F94,1)</f>
        <v/>
      </c>
      <c r="H94" s="6">
        <f>Eligibility_Check!L94</f>
        <v/>
      </c>
    </row>
    <row r="95">
      <c r="A95" s="8">
        <f>RANK.EQ(G95,$G$2:$G$121,0)</f>
        <v/>
      </c>
      <c r="B95" s="9">
        <f>Raw_Data!A95</f>
        <v/>
      </c>
      <c r="C95" s="9">
        <f>Raw_Data!B95</f>
        <v/>
      </c>
      <c r="D95" s="9">
        <f>Raw_Data!C95</f>
        <v/>
      </c>
      <c r="E95" s="12">
        <f>ROUND(Technical_Scoring!H95*0.7,1)</f>
        <v/>
      </c>
      <c r="F95" s="12">
        <f>ROUND(Financial_Evaluation!D95*0.3,1)</f>
        <v/>
      </c>
      <c r="G95" s="12">
        <f>ROUND(E95+F95,1)</f>
        <v/>
      </c>
      <c r="H95" s="9">
        <f>Eligibility_Check!L95</f>
        <v/>
      </c>
    </row>
    <row r="96">
      <c r="A96" s="5">
        <f>RANK.EQ(G96,$G$2:$G$121,0)</f>
        <v/>
      </c>
      <c r="B96" s="6">
        <f>Raw_Data!A96</f>
        <v/>
      </c>
      <c r="C96" s="6">
        <f>Raw_Data!B96</f>
        <v/>
      </c>
      <c r="D96" s="6">
        <f>Raw_Data!C96</f>
        <v/>
      </c>
      <c r="E96" s="11">
        <f>ROUND(Technical_Scoring!H96*0.7,1)</f>
        <v/>
      </c>
      <c r="F96" s="11">
        <f>ROUND(Financial_Evaluation!D96*0.3,1)</f>
        <v/>
      </c>
      <c r="G96" s="11">
        <f>ROUND(E96+F96,1)</f>
        <v/>
      </c>
      <c r="H96" s="6">
        <f>Eligibility_Check!L96</f>
        <v/>
      </c>
    </row>
    <row r="97">
      <c r="A97" s="8">
        <f>RANK.EQ(G97,$G$2:$G$121,0)</f>
        <v/>
      </c>
      <c r="B97" s="9">
        <f>Raw_Data!A97</f>
        <v/>
      </c>
      <c r="C97" s="9">
        <f>Raw_Data!B97</f>
        <v/>
      </c>
      <c r="D97" s="9">
        <f>Raw_Data!C97</f>
        <v/>
      </c>
      <c r="E97" s="12">
        <f>ROUND(Technical_Scoring!H97*0.7,1)</f>
        <v/>
      </c>
      <c r="F97" s="12">
        <f>ROUND(Financial_Evaluation!D97*0.3,1)</f>
        <v/>
      </c>
      <c r="G97" s="12">
        <f>ROUND(E97+F97,1)</f>
        <v/>
      </c>
      <c r="H97" s="9">
        <f>Eligibility_Check!L97</f>
        <v/>
      </c>
    </row>
    <row r="98">
      <c r="A98" s="5">
        <f>RANK.EQ(G98,$G$2:$G$121,0)</f>
        <v/>
      </c>
      <c r="B98" s="6">
        <f>Raw_Data!A98</f>
        <v/>
      </c>
      <c r="C98" s="6">
        <f>Raw_Data!B98</f>
        <v/>
      </c>
      <c r="D98" s="6">
        <f>Raw_Data!C98</f>
        <v/>
      </c>
      <c r="E98" s="11">
        <f>ROUND(Technical_Scoring!H98*0.7,1)</f>
        <v/>
      </c>
      <c r="F98" s="11">
        <f>ROUND(Financial_Evaluation!D98*0.3,1)</f>
        <v/>
      </c>
      <c r="G98" s="11">
        <f>ROUND(E98+F98,1)</f>
        <v/>
      </c>
      <c r="H98" s="6">
        <f>Eligibility_Check!L98</f>
        <v/>
      </c>
    </row>
    <row r="99">
      <c r="A99" s="8">
        <f>RANK.EQ(G99,$G$2:$G$121,0)</f>
        <v/>
      </c>
      <c r="B99" s="9">
        <f>Raw_Data!A99</f>
        <v/>
      </c>
      <c r="C99" s="9">
        <f>Raw_Data!B99</f>
        <v/>
      </c>
      <c r="D99" s="9">
        <f>Raw_Data!C99</f>
        <v/>
      </c>
      <c r="E99" s="12">
        <f>ROUND(Technical_Scoring!H99*0.7,1)</f>
        <v/>
      </c>
      <c r="F99" s="12">
        <f>ROUND(Financial_Evaluation!D99*0.3,1)</f>
        <v/>
      </c>
      <c r="G99" s="12">
        <f>ROUND(E99+F99,1)</f>
        <v/>
      </c>
      <c r="H99" s="9">
        <f>Eligibility_Check!L99</f>
        <v/>
      </c>
    </row>
    <row r="100">
      <c r="A100" s="5">
        <f>RANK.EQ(G100,$G$2:$G$121,0)</f>
        <v/>
      </c>
      <c r="B100" s="6">
        <f>Raw_Data!A100</f>
        <v/>
      </c>
      <c r="C100" s="6">
        <f>Raw_Data!B100</f>
        <v/>
      </c>
      <c r="D100" s="6">
        <f>Raw_Data!C100</f>
        <v/>
      </c>
      <c r="E100" s="11">
        <f>ROUND(Technical_Scoring!H100*0.7,1)</f>
        <v/>
      </c>
      <c r="F100" s="11">
        <f>ROUND(Financial_Evaluation!D100*0.3,1)</f>
        <v/>
      </c>
      <c r="G100" s="11">
        <f>ROUND(E100+F100,1)</f>
        <v/>
      </c>
      <c r="H100" s="6">
        <f>Eligibility_Check!L100</f>
        <v/>
      </c>
    </row>
    <row r="101">
      <c r="A101" s="8">
        <f>RANK.EQ(G101,$G$2:$G$121,0)</f>
        <v/>
      </c>
      <c r="B101" s="9">
        <f>Raw_Data!A101</f>
        <v/>
      </c>
      <c r="C101" s="9">
        <f>Raw_Data!B101</f>
        <v/>
      </c>
      <c r="D101" s="9">
        <f>Raw_Data!C101</f>
        <v/>
      </c>
      <c r="E101" s="12">
        <f>ROUND(Technical_Scoring!H101*0.7,1)</f>
        <v/>
      </c>
      <c r="F101" s="12">
        <f>ROUND(Financial_Evaluation!D101*0.3,1)</f>
        <v/>
      </c>
      <c r="G101" s="12">
        <f>ROUND(E101+F101,1)</f>
        <v/>
      </c>
      <c r="H101" s="9">
        <f>Eligibility_Check!L101</f>
        <v/>
      </c>
    </row>
    <row r="102">
      <c r="A102" s="5">
        <f>RANK.EQ(G102,$G$2:$G$121,0)</f>
        <v/>
      </c>
      <c r="B102" s="6">
        <f>Raw_Data!A102</f>
        <v/>
      </c>
      <c r="C102" s="6">
        <f>Raw_Data!B102</f>
        <v/>
      </c>
      <c r="D102" s="6">
        <f>Raw_Data!C102</f>
        <v/>
      </c>
      <c r="E102" s="11">
        <f>ROUND(Technical_Scoring!H102*0.7,1)</f>
        <v/>
      </c>
      <c r="F102" s="11">
        <f>ROUND(Financial_Evaluation!D102*0.3,1)</f>
        <v/>
      </c>
      <c r="G102" s="11">
        <f>ROUND(E102+F102,1)</f>
        <v/>
      </c>
      <c r="H102" s="6">
        <f>Eligibility_Check!L102</f>
        <v/>
      </c>
    </row>
    <row r="103">
      <c r="A103" s="8">
        <f>RANK.EQ(G103,$G$2:$G$121,0)</f>
        <v/>
      </c>
      <c r="B103" s="9">
        <f>Raw_Data!A103</f>
        <v/>
      </c>
      <c r="C103" s="9">
        <f>Raw_Data!B103</f>
        <v/>
      </c>
      <c r="D103" s="9">
        <f>Raw_Data!C103</f>
        <v/>
      </c>
      <c r="E103" s="12">
        <f>ROUND(Technical_Scoring!H103*0.7,1)</f>
        <v/>
      </c>
      <c r="F103" s="12">
        <f>ROUND(Financial_Evaluation!D103*0.3,1)</f>
        <v/>
      </c>
      <c r="G103" s="12">
        <f>ROUND(E103+F103,1)</f>
        <v/>
      </c>
      <c r="H103" s="9">
        <f>Eligibility_Check!L103</f>
        <v/>
      </c>
    </row>
    <row r="104">
      <c r="A104" s="5">
        <f>RANK.EQ(G104,$G$2:$G$121,0)</f>
        <v/>
      </c>
      <c r="B104" s="6">
        <f>Raw_Data!A104</f>
        <v/>
      </c>
      <c r="C104" s="6">
        <f>Raw_Data!B104</f>
        <v/>
      </c>
      <c r="D104" s="6">
        <f>Raw_Data!C104</f>
        <v/>
      </c>
      <c r="E104" s="11">
        <f>ROUND(Technical_Scoring!H104*0.7,1)</f>
        <v/>
      </c>
      <c r="F104" s="11">
        <f>ROUND(Financial_Evaluation!D104*0.3,1)</f>
        <v/>
      </c>
      <c r="G104" s="11">
        <f>ROUND(E104+F104,1)</f>
        <v/>
      </c>
      <c r="H104" s="6">
        <f>Eligibility_Check!L104</f>
        <v/>
      </c>
    </row>
    <row r="105">
      <c r="A105" s="8">
        <f>RANK.EQ(G105,$G$2:$G$121,0)</f>
        <v/>
      </c>
      <c r="B105" s="9">
        <f>Raw_Data!A105</f>
        <v/>
      </c>
      <c r="C105" s="9">
        <f>Raw_Data!B105</f>
        <v/>
      </c>
      <c r="D105" s="9">
        <f>Raw_Data!C105</f>
        <v/>
      </c>
      <c r="E105" s="12">
        <f>ROUND(Technical_Scoring!H105*0.7,1)</f>
        <v/>
      </c>
      <c r="F105" s="12">
        <f>ROUND(Financial_Evaluation!D105*0.3,1)</f>
        <v/>
      </c>
      <c r="G105" s="12">
        <f>ROUND(E105+F105,1)</f>
        <v/>
      </c>
      <c r="H105" s="9">
        <f>Eligibility_Check!L105</f>
        <v/>
      </c>
    </row>
    <row r="106">
      <c r="A106" s="5">
        <f>RANK.EQ(G106,$G$2:$G$121,0)</f>
        <v/>
      </c>
      <c r="B106" s="6">
        <f>Raw_Data!A106</f>
        <v/>
      </c>
      <c r="C106" s="6">
        <f>Raw_Data!B106</f>
        <v/>
      </c>
      <c r="D106" s="6">
        <f>Raw_Data!C106</f>
        <v/>
      </c>
      <c r="E106" s="11">
        <f>ROUND(Technical_Scoring!H106*0.7,1)</f>
        <v/>
      </c>
      <c r="F106" s="11">
        <f>ROUND(Financial_Evaluation!D106*0.3,1)</f>
        <v/>
      </c>
      <c r="G106" s="11">
        <f>ROUND(E106+F106,1)</f>
        <v/>
      </c>
      <c r="H106" s="6">
        <f>Eligibility_Check!L106</f>
        <v/>
      </c>
    </row>
    <row r="107">
      <c r="A107" s="8">
        <f>RANK.EQ(G107,$G$2:$G$121,0)</f>
        <v/>
      </c>
      <c r="B107" s="9">
        <f>Raw_Data!A107</f>
        <v/>
      </c>
      <c r="C107" s="9">
        <f>Raw_Data!B107</f>
        <v/>
      </c>
      <c r="D107" s="9">
        <f>Raw_Data!C107</f>
        <v/>
      </c>
      <c r="E107" s="12">
        <f>ROUND(Technical_Scoring!H107*0.7,1)</f>
        <v/>
      </c>
      <c r="F107" s="12">
        <f>ROUND(Financial_Evaluation!D107*0.3,1)</f>
        <v/>
      </c>
      <c r="G107" s="12">
        <f>ROUND(E107+F107,1)</f>
        <v/>
      </c>
      <c r="H107" s="9">
        <f>Eligibility_Check!L107</f>
        <v/>
      </c>
    </row>
    <row r="108">
      <c r="A108" s="5">
        <f>RANK.EQ(G108,$G$2:$G$121,0)</f>
        <v/>
      </c>
      <c r="B108" s="6">
        <f>Raw_Data!A108</f>
        <v/>
      </c>
      <c r="C108" s="6">
        <f>Raw_Data!B108</f>
        <v/>
      </c>
      <c r="D108" s="6">
        <f>Raw_Data!C108</f>
        <v/>
      </c>
      <c r="E108" s="11">
        <f>ROUND(Technical_Scoring!H108*0.7,1)</f>
        <v/>
      </c>
      <c r="F108" s="11">
        <f>ROUND(Financial_Evaluation!D108*0.3,1)</f>
        <v/>
      </c>
      <c r="G108" s="11">
        <f>ROUND(E108+F108,1)</f>
        <v/>
      </c>
      <c r="H108" s="6">
        <f>Eligibility_Check!L108</f>
        <v/>
      </c>
    </row>
    <row r="109">
      <c r="A109" s="8">
        <f>RANK.EQ(G109,$G$2:$G$121,0)</f>
        <v/>
      </c>
      <c r="B109" s="9">
        <f>Raw_Data!A109</f>
        <v/>
      </c>
      <c r="C109" s="9">
        <f>Raw_Data!B109</f>
        <v/>
      </c>
      <c r="D109" s="9">
        <f>Raw_Data!C109</f>
        <v/>
      </c>
      <c r="E109" s="12">
        <f>ROUND(Technical_Scoring!H109*0.7,1)</f>
        <v/>
      </c>
      <c r="F109" s="12">
        <f>ROUND(Financial_Evaluation!D109*0.3,1)</f>
        <v/>
      </c>
      <c r="G109" s="12">
        <f>ROUND(E109+F109,1)</f>
        <v/>
      </c>
      <c r="H109" s="9">
        <f>Eligibility_Check!L109</f>
        <v/>
      </c>
    </row>
    <row r="110">
      <c r="A110" s="5">
        <f>RANK.EQ(G110,$G$2:$G$121,0)</f>
        <v/>
      </c>
      <c r="B110" s="6">
        <f>Raw_Data!A110</f>
        <v/>
      </c>
      <c r="C110" s="6">
        <f>Raw_Data!B110</f>
        <v/>
      </c>
      <c r="D110" s="6">
        <f>Raw_Data!C110</f>
        <v/>
      </c>
      <c r="E110" s="11">
        <f>ROUND(Technical_Scoring!H110*0.7,1)</f>
        <v/>
      </c>
      <c r="F110" s="11">
        <f>ROUND(Financial_Evaluation!D110*0.3,1)</f>
        <v/>
      </c>
      <c r="G110" s="11">
        <f>ROUND(E110+F110,1)</f>
        <v/>
      </c>
      <c r="H110" s="6">
        <f>Eligibility_Check!L110</f>
        <v/>
      </c>
    </row>
    <row r="111">
      <c r="A111" s="8">
        <f>RANK.EQ(G111,$G$2:$G$121,0)</f>
        <v/>
      </c>
      <c r="B111" s="9">
        <f>Raw_Data!A111</f>
        <v/>
      </c>
      <c r="C111" s="9">
        <f>Raw_Data!B111</f>
        <v/>
      </c>
      <c r="D111" s="9">
        <f>Raw_Data!C111</f>
        <v/>
      </c>
      <c r="E111" s="12">
        <f>ROUND(Technical_Scoring!H111*0.7,1)</f>
        <v/>
      </c>
      <c r="F111" s="12">
        <f>ROUND(Financial_Evaluation!D111*0.3,1)</f>
        <v/>
      </c>
      <c r="G111" s="12">
        <f>ROUND(E111+F111,1)</f>
        <v/>
      </c>
      <c r="H111" s="9">
        <f>Eligibility_Check!L111</f>
        <v/>
      </c>
    </row>
    <row r="112">
      <c r="A112" s="5">
        <f>RANK.EQ(G112,$G$2:$G$121,0)</f>
        <v/>
      </c>
      <c r="B112" s="6">
        <f>Raw_Data!A112</f>
        <v/>
      </c>
      <c r="C112" s="6">
        <f>Raw_Data!B112</f>
        <v/>
      </c>
      <c r="D112" s="6">
        <f>Raw_Data!C112</f>
        <v/>
      </c>
      <c r="E112" s="11">
        <f>ROUND(Technical_Scoring!H112*0.7,1)</f>
        <v/>
      </c>
      <c r="F112" s="11">
        <f>ROUND(Financial_Evaluation!D112*0.3,1)</f>
        <v/>
      </c>
      <c r="G112" s="11">
        <f>ROUND(E112+F112,1)</f>
        <v/>
      </c>
      <c r="H112" s="6">
        <f>Eligibility_Check!L112</f>
        <v/>
      </c>
    </row>
    <row r="113">
      <c r="A113" s="8">
        <f>RANK.EQ(G113,$G$2:$G$121,0)</f>
        <v/>
      </c>
      <c r="B113" s="9">
        <f>Raw_Data!A113</f>
        <v/>
      </c>
      <c r="C113" s="9">
        <f>Raw_Data!B113</f>
        <v/>
      </c>
      <c r="D113" s="9">
        <f>Raw_Data!C113</f>
        <v/>
      </c>
      <c r="E113" s="12">
        <f>ROUND(Technical_Scoring!H113*0.7,1)</f>
        <v/>
      </c>
      <c r="F113" s="12">
        <f>ROUND(Financial_Evaluation!D113*0.3,1)</f>
        <v/>
      </c>
      <c r="G113" s="12">
        <f>ROUND(E113+F113,1)</f>
        <v/>
      </c>
      <c r="H113" s="9">
        <f>Eligibility_Check!L113</f>
        <v/>
      </c>
    </row>
    <row r="114">
      <c r="A114" s="5">
        <f>RANK.EQ(G114,$G$2:$G$121,0)</f>
        <v/>
      </c>
      <c r="B114" s="6">
        <f>Raw_Data!A114</f>
        <v/>
      </c>
      <c r="C114" s="6">
        <f>Raw_Data!B114</f>
        <v/>
      </c>
      <c r="D114" s="6">
        <f>Raw_Data!C114</f>
        <v/>
      </c>
      <c r="E114" s="11">
        <f>ROUND(Technical_Scoring!H114*0.7,1)</f>
        <v/>
      </c>
      <c r="F114" s="11">
        <f>ROUND(Financial_Evaluation!D114*0.3,1)</f>
        <v/>
      </c>
      <c r="G114" s="11">
        <f>ROUND(E114+F114,1)</f>
        <v/>
      </c>
      <c r="H114" s="6">
        <f>Eligibility_Check!L114</f>
        <v/>
      </c>
    </row>
    <row r="115">
      <c r="A115" s="8">
        <f>RANK.EQ(G115,$G$2:$G$121,0)</f>
        <v/>
      </c>
      <c r="B115" s="9">
        <f>Raw_Data!A115</f>
        <v/>
      </c>
      <c r="C115" s="9">
        <f>Raw_Data!B115</f>
        <v/>
      </c>
      <c r="D115" s="9">
        <f>Raw_Data!C115</f>
        <v/>
      </c>
      <c r="E115" s="12">
        <f>ROUND(Technical_Scoring!H115*0.7,1)</f>
        <v/>
      </c>
      <c r="F115" s="12">
        <f>ROUND(Financial_Evaluation!D115*0.3,1)</f>
        <v/>
      </c>
      <c r="G115" s="12">
        <f>ROUND(E115+F115,1)</f>
        <v/>
      </c>
      <c r="H115" s="9">
        <f>Eligibility_Check!L115</f>
        <v/>
      </c>
    </row>
    <row r="116">
      <c r="A116" s="5">
        <f>RANK.EQ(G116,$G$2:$G$121,0)</f>
        <v/>
      </c>
      <c r="B116" s="6">
        <f>Raw_Data!A116</f>
        <v/>
      </c>
      <c r="C116" s="6">
        <f>Raw_Data!B116</f>
        <v/>
      </c>
      <c r="D116" s="6">
        <f>Raw_Data!C116</f>
        <v/>
      </c>
      <c r="E116" s="11">
        <f>ROUND(Technical_Scoring!H116*0.7,1)</f>
        <v/>
      </c>
      <c r="F116" s="11">
        <f>ROUND(Financial_Evaluation!D116*0.3,1)</f>
        <v/>
      </c>
      <c r="G116" s="11">
        <f>ROUND(E116+F116,1)</f>
        <v/>
      </c>
      <c r="H116" s="6">
        <f>Eligibility_Check!L116</f>
        <v/>
      </c>
    </row>
    <row r="117">
      <c r="A117" s="8">
        <f>RANK.EQ(G117,$G$2:$G$121,0)</f>
        <v/>
      </c>
      <c r="B117" s="9">
        <f>Raw_Data!A117</f>
        <v/>
      </c>
      <c r="C117" s="9">
        <f>Raw_Data!B117</f>
        <v/>
      </c>
      <c r="D117" s="9">
        <f>Raw_Data!C117</f>
        <v/>
      </c>
      <c r="E117" s="12">
        <f>ROUND(Technical_Scoring!H117*0.7,1)</f>
        <v/>
      </c>
      <c r="F117" s="12">
        <f>ROUND(Financial_Evaluation!D117*0.3,1)</f>
        <v/>
      </c>
      <c r="G117" s="12">
        <f>ROUND(E117+F117,1)</f>
        <v/>
      </c>
      <c r="H117" s="9">
        <f>Eligibility_Check!L117</f>
        <v/>
      </c>
    </row>
    <row r="118">
      <c r="A118" s="5">
        <f>RANK.EQ(G118,$G$2:$G$121,0)</f>
        <v/>
      </c>
      <c r="B118" s="6">
        <f>Raw_Data!A118</f>
        <v/>
      </c>
      <c r="C118" s="6">
        <f>Raw_Data!B118</f>
        <v/>
      </c>
      <c r="D118" s="6">
        <f>Raw_Data!C118</f>
        <v/>
      </c>
      <c r="E118" s="11">
        <f>ROUND(Technical_Scoring!H118*0.7,1)</f>
        <v/>
      </c>
      <c r="F118" s="11">
        <f>ROUND(Financial_Evaluation!D118*0.3,1)</f>
        <v/>
      </c>
      <c r="G118" s="11">
        <f>ROUND(E118+F118,1)</f>
        <v/>
      </c>
      <c r="H118" s="6">
        <f>Eligibility_Check!L118</f>
        <v/>
      </c>
    </row>
    <row r="119">
      <c r="A119" s="8">
        <f>RANK.EQ(G119,$G$2:$G$121,0)</f>
        <v/>
      </c>
      <c r="B119" s="9">
        <f>Raw_Data!A119</f>
        <v/>
      </c>
      <c r="C119" s="9">
        <f>Raw_Data!B119</f>
        <v/>
      </c>
      <c r="D119" s="9">
        <f>Raw_Data!C119</f>
        <v/>
      </c>
      <c r="E119" s="12">
        <f>ROUND(Technical_Scoring!H119*0.7,1)</f>
        <v/>
      </c>
      <c r="F119" s="12">
        <f>ROUND(Financial_Evaluation!D119*0.3,1)</f>
        <v/>
      </c>
      <c r="G119" s="12">
        <f>ROUND(E119+F119,1)</f>
        <v/>
      </c>
      <c r="H119" s="9">
        <f>Eligibility_Check!L119</f>
        <v/>
      </c>
    </row>
    <row r="120">
      <c r="A120" s="5">
        <f>RANK.EQ(G120,$G$2:$G$121,0)</f>
        <v/>
      </c>
      <c r="B120" s="6">
        <f>Raw_Data!A120</f>
        <v/>
      </c>
      <c r="C120" s="6">
        <f>Raw_Data!B120</f>
        <v/>
      </c>
      <c r="D120" s="6">
        <f>Raw_Data!C120</f>
        <v/>
      </c>
      <c r="E120" s="11">
        <f>ROUND(Technical_Scoring!H120*0.7,1)</f>
        <v/>
      </c>
      <c r="F120" s="11">
        <f>ROUND(Financial_Evaluation!D120*0.3,1)</f>
        <v/>
      </c>
      <c r="G120" s="11">
        <f>ROUND(E120+F120,1)</f>
        <v/>
      </c>
      <c r="H120" s="6">
        <f>Eligibility_Check!L120</f>
        <v/>
      </c>
    </row>
    <row r="121">
      <c r="A121" s="8">
        <f>RANK.EQ(G121,$G$2:$G$121,0)</f>
        <v/>
      </c>
      <c r="B121" s="9">
        <f>Raw_Data!A121</f>
        <v/>
      </c>
      <c r="C121" s="9">
        <f>Raw_Data!B121</f>
        <v/>
      </c>
      <c r="D121" s="9">
        <f>Raw_Data!C121</f>
        <v/>
      </c>
      <c r="E121" s="12">
        <f>ROUND(Technical_Scoring!H121*0.7,1)</f>
        <v/>
      </c>
      <c r="F121" s="12">
        <f>ROUND(Financial_Evaluation!D121*0.3,1)</f>
        <v/>
      </c>
      <c r="G121" s="12">
        <f>ROUND(E121+F121,1)</f>
        <v/>
      </c>
      <c r="H121" s="9">
        <f>Eligibility_Check!L121</f>
        <v/>
      </c>
    </row>
  </sheetData>
  <autoFilter ref="A1:H121"/>
  <conditionalFormatting sqref="H2:H121">
    <cfRule type="cellIs" priority="1" operator="equal" dxfId="2">
      <formula>"Qualified"</formula>
    </cfRule>
    <cfRule type="cellIs" priority="2" operator="equal" dxfId="3">
      <formula>"Disqualified"</formula>
    </cfRule>
  </conditionalFormatting>
  <conditionalFormatting sqref="G2:G121">
    <cfRule type="cellIs" priority="3" operator="greaterThanOrEqual" dxfId="2">
      <formula>90</formula>
    </cfRule>
    <cfRule type="cellIs" priority="4" operator="between" dxfId="4">
      <formula>75</formula>
      <formula>89.9</formula>
    </cfRule>
    <cfRule type="cellIs" priority="5" operator="lessThan" dxfId="1">
      <formula>75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T62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B1" s="15" t="inlineStr">
        <is>
          <t>VENDOR EVALUATION EXECUTIVE DASHBOARD</t>
        </is>
      </c>
    </row>
    <row r="2">
      <c r="B2" s="16" t="inlineStr">
        <is>
          <t>Procurement Analytics &amp; Vendor Performance Overview</t>
        </is>
      </c>
    </row>
    <row r="4">
      <c r="B4" s="17" t="inlineStr">
        <is>
          <t>Total Vendors</t>
        </is>
      </c>
      <c r="C4" s="18" t="n"/>
      <c r="D4" s="18" t="n"/>
      <c r="F4" s="19" t="inlineStr">
        <is>
          <t>Qualified</t>
        </is>
      </c>
      <c r="G4" s="20" t="n"/>
      <c r="H4" s="20" t="n"/>
      <c r="J4" s="21" t="inlineStr">
        <is>
          <t>Disqualified</t>
        </is>
      </c>
      <c r="K4" s="22" t="n"/>
      <c r="L4" s="22" t="n"/>
      <c r="N4" s="23" t="inlineStr">
        <is>
          <t>Avg Composite Score</t>
        </is>
      </c>
      <c r="O4" s="24" t="n"/>
      <c r="P4" s="24" t="n"/>
      <c r="R4" s="25" t="inlineStr">
        <is>
          <t>Top Ranked Vendor</t>
        </is>
      </c>
      <c r="S4" s="26" t="n"/>
      <c r="T4" s="26" t="n"/>
    </row>
    <row r="5">
      <c r="B5" s="27">
        <f>COUNTA(Raw_Data!$A$2:$A$121)</f>
        <v/>
      </c>
      <c r="C5" s="18" t="n"/>
      <c r="D5" s="18" t="n"/>
      <c r="F5" s="28">
        <f>COUNTIF(Eligibility_Check!$L$2:$L$121,"Qualified")</f>
        <v/>
      </c>
      <c r="G5" s="20" t="n"/>
      <c r="H5" s="20" t="n"/>
      <c r="J5" s="29">
        <f>COUNTIF(Eligibility_Check!$L$2:$L$121,"Disqualified")</f>
        <v/>
      </c>
      <c r="K5" s="22" t="n"/>
      <c r="L5" s="22" t="n"/>
      <c r="N5" s="30">
        <f>ROUND(AVERAGE(Final_Ranking!$G$2:$G$121),1)</f>
        <v/>
      </c>
      <c r="O5" s="24" t="n"/>
      <c r="P5" s="24" t="n"/>
      <c r="R5" s="31">
        <f>XLOOKUP(1,Final_Ranking!$A$2:$A$121,Final_Ranking!$B$2:$B$121,"N/A")</f>
        <v/>
      </c>
      <c r="S5" s="26" t="n"/>
      <c r="T5" s="26" t="n"/>
    </row>
    <row r="8">
      <c r="B8" s="32" t="inlineStr">
        <is>
          <t>Status</t>
        </is>
      </c>
      <c r="C8" s="32" t="inlineStr">
        <is>
          <t>Count</t>
        </is>
      </c>
      <c r="L8" s="32" t="inlineStr">
        <is>
          <t>Score Range</t>
        </is>
      </c>
      <c r="M8" s="32" t="inlineStr">
        <is>
          <t>Count</t>
        </is>
      </c>
    </row>
    <row r="9">
      <c r="B9" t="inlineStr">
        <is>
          <t>Qualified</t>
        </is>
      </c>
      <c r="C9">
        <f>COUNTIF(Eligibility_Check!$L$2:$L$121,"Qualified")</f>
        <v/>
      </c>
      <c r="L9" t="inlineStr">
        <is>
          <t>90-100</t>
        </is>
      </c>
      <c r="M9">
        <f>COUNTIFS(Final_Ranking!$G$2:$G$121,"&gt;=90",Final_Ranking!$G$2:$G$121,"&lt;=100")</f>
        <v/>
      </c>
    </row>
    <row r="10">
      <c r="B10" t="inlineStr">
        <is>
          <t>Disqualified</t>
        </is>
      </c>
      <c r="C10">
        <f>COUNTIF(Eligibility_Check!$L$2:$L$121,"Disqualified")</f>
        <v/>
      </c>
      <c r="L10" t="inlineStr">
        <is>
          <t>80-89</t>
        </is>
      </c>
      <c r="M10">
        <f>COUNTIFS(Final_Ranking!$G$2:$G$121,"&gt;=80",Final_Ranking!$G$2:$G$121,"&lt;90")</f>
        <v/>
      </c>
    </row>
    <row r="11">
      <c r="L11" t="inlineStr">
        <is>
          <t>70-79</t>
        </is>
      </c>
      <c r="M11">
        <f>COUNTIFS(Final_Ranking!$G$2:$G$121,"&gt;=70",Final_Ranking!$G$2:$G$121,"&lt;80")</f>
        <v/>
      </c>
    </row>
    <row r="12">
      <c r="L12" t="inlineStr">
        <is>
          <t>60-69</t>
        </is>
      </c>
      <c r="M12">
        <f>COUNTIFS(Final_Ranking!$G$2:$G$121,"&gt;=60",Final_Ranking!$G$2:$G$121,"&lt;70")</f>
        <v/>
      </c>
    </row>
    <row r="13">
      <c r="L13" t="inlineStr">
        <is>
          <t>&lt;60</t>
        </is>
      </c>
      <c r="M13">
        <f>COUNTIF(Final_Ranking!$G$2:$G$121,"&lt;60")</f>
        <v/>
      </c>
    </row>
    <row r="27">
      <c r="B27" s="33" t="inlineStr">
        <is>
          <t>Industry Breakdown</t>
        </is>
      </c>
    </row>
    <row r="28">
      <c r="B28" s="34" t="inlineStr">
        <is>
          <t>Industry</t>
        </is>
      </c>
      <c r="C28" s="34" t="inlineStr">
        <is>
          <t>Total</t>
        </is>
      </c>
      <c r="D28" s="34" t="inlineStr">
        <is>
          <t>Qualified</t>
        </is>
      </c>
      <c r="E28" s="34" t="inlineStr">
        <is>
          <t>Avg Score</t>
        </is>
      </c>
    </row>
    <row r="29">
      <c r="B29" s="6" t="inlineStr">
        <is>
          <t>Technology</t>
        </is>
      </c>
      <c r="C29" s="6">
        <f>COUNTIF(Raw_Data!$B$2:$B$121,"Technology")</f>
        <v/>
      </c>
      <c r="D29" s="6">
        <f>COUNTIFS(Raw_Data!$B$2:$B$121,"Technology",Eligibility_Check!$L$2:$L$121,"Qualified")</f>
        <v/>
      </c>
      <c r="E29" s="11">
        <f>IFERROR(ROUND(AVERAGEIFS(Final_Ranking!$G$2:$G$121,Final_Ranking!$C$2:$C$121,"Technology"),1),"")</f>
        <v/>
      </c>
    </row>
    <row r="30">
      <c r="B30" s="6" t="inlineStr">
        <is>
          <t>Healthcare</t>
        </is>
      </c>
      <c r="C30" s="6">
        <f>COUNTIF(Raw_Data!$B$2:$B$121,"Healthcare")</f>
        <v/>
      </c>
      <c r="D30" s="6">
        <f>COUNTIFS(Raw_Data!$B$2:$B$121,"Healthcare",Eligibility_Check!$L$2:$L$121,"Qualified")</f>
        <v/>
      </c>
      <c r="E30" s="11">
        <f>IFERROR(ROUND(AVERAGEIFS(Final_Ranking!$G$2:$G$121,Final_Ranking!$C$2:$C$121,"Healthcare"),1),"")</f>
        <v/>
      </c>
    </row>
    <row r="31">
      <c r="B31" s="6" t="inlineStr">
        <is>
          <t>Finance</t>
        </is>
      </c>
      <c r="C31" s="6">
        <f>COUNTIF(Raw_Data!$B$2:$B$121,"Finance")</f>
        <v/>
      </c>
      <c r="D31" s="6">
        <f>COUNTIFS(Raw_Data!$B$2:$B$121,"Finance",Eligibility_Check!$L$2:$L$121,"Qualified")</f>
        <v/>
      </c>
      <c r="E31" s="11">
        <f>IFERROR(ROUND(AVERAGEIFS(Final_Ranking!$G$2:$G$121,Final_Ranking!$C$2:$C$121,"Finance"),1),"")</f>
        <v/>
      </c>
    </row>
    <row r="32">
      <c r="B32" s="6" t="inlineStr">
        <is>
          <t>Manufacturing</t>
        </is>
      </c>
      <c r="C32" s="6">
        <f>COUNTIF(Raw_Data!$B$2:$B$121,"Manufacturing")</f>
        <v/>
      </c>
      <c r="D32" s="6">
        <f>COUNTIFS(Raw_Data!$B$2:$B$121,"Manufacturing",Eligibility_Check!$L$2:$L$121,"Qualified")</f>
        <v/>
      </c>
      <c r="E32" s="11">
        <f>IFERROR(ROUND(AVERAGEIFS(Final_Ranking!$G$2:$G$121,Final_Ranking!$C$2:$C$121,"Manufacturing"),1),"")</f>
        <v/>
      </c>
    </row>
    <row r="33">
      <c r="B33" s="6" t="inlineStr">
        <is>
          <t>Retail</t>
        </is>
      </c>
      <c r="C33" s="6">
        <f>COUNTIF(Raw_Data!$B$2:$B$121,"Retail")</f>
        <v/>
      </c>
      <c r="D33" s="6">
        <f>COUNTIFS(Raw_Data!$B$2:$B$121,"Retail",Eligibility_Check!$L$2:$L$121,"Qualified")</f>
        <v/>
      </c>
      <c r="E33" s="11">
        <f>IFERROR(ROUND(AVERAGEIFS(Final_Ranking!$G$2:$G$121,Final_Ranking!$C$2:$C$121,"Retail"),1),"")</f>
        <v/>
      </c>
    </row>
    <row r="34">
      <c r="B34" s="6" t="inlineStr">
        <is>
          <t>Energy</t>
        </is>
      </c>
      <c r="C34" s="6">
        <f>COUNTIF(Raw_Data!$B$2:$B$121,"Energy")</f>
        <v/>
      </c>
      <c r="D34" s="6">
        <f>COUNTIFS(Raw_Data!$B$2:$B$121,"Energy",Eligibility_Check!$L$2:$L$121,"Qualified")</f>
        <v/>
      </c>
      <c r="E34" s="11">
        <f>IFERROR(ROUND(AVERAGEIFS(Final_Ranking!$G$2:$G$121,Final_Ranking!$C$2:$C$121,"Energy"),1),"")</f>
        <v/>
      </c>
    </row>
    <row r="35">
      <c r="B35" s="6" t="inlineStr">
        <is>
          <t>Telecom</t>
        </is>
      </c>
      <c r="C35" s="6">
        <f>COUNTIF(Raw_Data!$B$2:$B$121,"Telecom")</f>
        <v/>
      </c>
      <c r="D35" s="6">
        <f>COUNTIFS(Raw_Data!$B$2:$B$121,"Telecom",Eligibility_Check!$L$2:$L$121,"Qualified")</f>
        <v/>
      </c>
      <c r="E35" s="11">
        <f>IFERROR(ROUND(AVERAGEIFS(Final_Ranking!$G$2:$G$121,Final_Ranking!$C$2:$C$121,"Telecom"),1),"")</f>
        <v/>
      </c>
    </row>
    <row r="36">
      <c r="B36" s="6" t="inlineStr">
        <is>
          <t>Logistics</t>
        </is>
      </c>
      <c r="C36" s="6">
        <f>COUNTIF(Raw_Data!$B$2:$B$121,"Logistics")</f>
        <v/>
      </c>
      <c r="D36" s="6">
        <f>COUNTIFS(Raw_Data!$B$2:$B$121,"Logistics",Eligibility_Check!$L$2:$L$121,"Qualified")</f>
        <v/>
      </c>
      <c r="E36" s="11">
        <f>IFERROR(ROUND(AVERAGEIFS(Final_Ranking!$G$2:$G$121,Final_Ranking!$C$2:$C$121,"Logistics"),1),"")</f>
        <v/>
      </c>
    </row>
    <row r="55">
      <c r="B55" s="35" t="inlineStr">
        <is>
          <t>INTERACTIVE SLICER SETUP</t>
        </is>
      </c>
    </row>
    <row r="56">
      <c r="B56" s="3" t="inlineStr">
        <is>
          <t>1. Select any cell in the Final_Ranking data table.</t>
        </is>
      </c>
    </row>
    <row r="57">
      <c r="B57" s="3" t="inlineStr">
        <is>
          <t>2. Go to Insert &gt; PivotTable. Click OK to place it on a new worksheet.</t>
        </is>
      </c>
    </row>
    <row r="58">
      <c r="B58" s="3" t="inlineStr">
        <is>
          <t>3. Drag 'Industry', 'Region', and 'Eligibility Status' to the Filters area.</t>
        </is>
      </c>
    </row>
    <row r="59">
      <c r="B59" s="3" t="inlineStr">
        <is>
          <t>4. With the PivotTable selected, go to PivotTable Analyze &gt; Insert Slicer.</t>
        </is>
      </c>
    </row>
    <row r="60">
      <c r="B60" s="3" t="inlineStr">
        <is>
          <t>5. Select 'Industry', 'Region', and 'Eligibility Status' to create slicers.</t>
        </is>
      </c>
    </row>
    <row r="61">
      <c r="B61" s="3" t="inlineStr">
        <is>
          <t>6. Right-click each slicer &gt; Report Connections &gt; connect to all PivotCharts.</t>
        </is>
      </c>
    </row>
    <row r="62">
      <c r="B62" s="3" t="inlineStr">
        <is>
          <t>7. Now use the slicers to filter all charts and KPI cards interactively.</t>
        </is>
      </c>
    </row>
  </sheetData>
  <mergeCells count="12">
    <mergeCell ref="J5:L5"/>
    <mergeCell ref="B5:D5"/>
    <mergeCell ref="F5:H5"/>
    <mergeCell ref="R5:T5"/>
    <mergeCell ref="B4:D4"/>
    <mergeCell ref="R4:T4"/>
    <mergeCell ref="B2:R2"/>
    <mergeCell ref="N5:P5"/>
    <mergeCell ref="F4:H4"/>
    <mergeCell ref="J4:L4"/>
    <mergeCell ref="N4:P4"/>
    <mergeCell ref="B1:R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Region</t>
        </is>
      </c>
      <c r="D1" s="4" t="inlineStr">
        <is>
          <t>Status</t>
        </is>
      </c>
      <c r="E1" s="4" t="inlineStr">
        <is>
          <t>Composite Score</t>
        </is>
      </c>
      <c r="F1" s="4" t="inlineStr">
        <is>
          <t>Rank</t>
        </is>
      </c>
      <c r="G1" s="4" t="inlineStr">
        <is>
          <t>Bid Price</t>
        </is>
      </c>
    </row>
    <row r="2">
      <c r="A2" s="5">
        <f>Final_Ranking!B2</f>
        <v/>
      </c>
      <c r="B2" s="6">
        <f>Final_Ranking!C2</f>
        <v/>
      </c>
      <c r="C2" s="6">
        <f>Final_Ranking!D2</f>
        <v/>
      </c>
      <c r="D2" s="6">
        <f>Final_Ranking!H2</f>
        <v/>
      </c>
      <c r="E2" s="11">
        <f>Final_Ranking!G2</f>
        <v/>
      </c>
      <c r="F2" s="6">
        <f>Final_Ranking!A2</f>
        <v/>
      </c>
      <c r="G2" s="7">
        <f>Raw_Data!H2</f>
        <v/>
      </c>
    </row>
    <row r="3">
      <c r="A3" s="8">
        <f>Final_Ranking!B3</f>
        <v/>
      </c>
      <c r="B3" s="9">
        <f>Final_Ranking!C3</f>
        <v/>
      </c>
      <c r="C3" s="9">
        <f>Final_Ranking!D3</f>
        <v/>
      </c>
      <c r="D3" s="9">
        <f>Final_Ranking!H3</f>
        <v/>
      </c>
      <c r="E3" s="12">
        <f>Final_Ranking!G3</f>
        <v/>
      </c>
      <c r="F3" s="9">
        <f>Final_Ranking!A3</f>
        <v/>
      </c>
      <c r="G3" s="10">
        <f>Raw_Data!H3</f>
        <v/>
      </c>
    </row>
    <row r="4">
      <c r="A4" s="5">
        <f>Final_Ranking!B4</f>
        <v/>
      </c>
      <c r="B4" s="6">
        <f>Final_Ranking!C4</f>
        <v/>
      </c>
      <c r="C4" s="6">
        <f>Final_Ranking!D4</f>
        <v/>
      </c>
      <c r="D4" s="6">
        <f>Final_Ranking!H4</f>
        <v/>
      </c>
      <c r="E4" s="11">
        <f>Final_Ranking!G4</f>
        <v/>
      </c>
      <c r="F4" s="6">
        <f>Final_Ranking!A4</f>
        <v/>
      </c>
      <c r="G4" s="7">
        <f>Raw_Data!H4</f>
        <v/>
      </c>
    </row>
    <row r="5">
      <c r="A5" s="8">
        <f>Final_Ranking!B5</f>
        <v/>
      </c>
      <c r="B5" s="9">
        <f>Final_Ranking!C5</f>
        <v/>
      </c>
      <c r="C5" s="9">
        <f>Final_Ranking!D5</f>
        <v/>
      </c>
      <c r="D5" s="9">
        <f>Final_Ranking!H5</f>
        <v/>
      </c>
      <c r="E5" s="12">
        <f>Final_Ranking!G5</f>
        <v/>
      </c>
      <c r="F5" s="9">
        <f>Final_Ranking!A5</f>
        <v/>
      </c>
      <c r="G5" s="10">
        <f>Raw_Data!H5</f>
        <v/>
      </c>
    </row>
    <row r="6">
      <c r="A6" s="5">
        <f>Final_Ranking!B6</f>
        <v/>
      </c>
      <c r="B6" s="6">
        <f>Final_Ranking!C6</f>
        <v/>
      </c>
      <c r="C6" s="6">
        <f>Final_Ranking!D6</f>
        <v/>
      </c>
      <c r="D6" s="6">
        <f>Final_Ranking!H6</f>
        <v/>
      </c>
      <c r="E6" s="11">
        <f>Final_Ranking!G6</f>
        <v/>
      </c>
      <c r="F6" s="6">
        <f>Final_Ranking!A6</f>
        <v/>
      </c>
      <c r="G6" s="7">
        <f>Raw_Data!H6</f>
        <v/>
      </c>
    </row>
    <row r="7">
      <c r="A7" s="8">
        <f>Final_Ranking!B7</f>
        <v/>
      </c>
      <c r="B7" s="9">
        <f>Final_Ranking!C7</f>
        <v/>
      </c>
      <c r="C7" s="9">
        <f>Final_Ranking!D7</f>
        <v/>
      </c>
      <c r="D7" s="9">
        <f>Final_Ranking!H7</f>
        <v/>
      </c>
      <c r="E7" s="12">
        <f>Final_Ranking!G7</f>
        <v/>
      </c>
      <c r="F7" s="9">
        <f>Final_Ranking!A7</f>
        <v/>
      </c>
      <c r="G7" s="10">
        <f>Raw_Data!H7</f>
        <v/>
      </c>
    </row>
    <row r="8">
      <c r="A8" s="5">
        <f>Final_Ranking!B8</f>
        <v/>
      </c>
      <c r="B8" s="6">
        <f>Final_Ranking!C8</f>
        <v/>
      </c>
      <c r="C8" s="6">
        <f>Final_Ranking!D8</f>
        <v/>
      </c>
      <c r="D8" s="6">
        <f>Final_Ranking!H8</f>
        <v/>
      </c>
      <c r="E8" s="11">
        <f>Final_Ranking!G8</f>
        <v/>
      </c>
      <c r="F8" s="6">
        <f>Final_Ranking!A8</f>
        <v/>
      </c>
      <c r="G8" s="7">
        <f>Raw_Data!H8</f>
        <v/>
      </c>
    </row>
    <row r="9">
      <c r="A9" s="8">
        <f>Final_Ranking!B9</f>
        <v/>
      </c>
      <c r="B9" s="9">
        <f>Final_Ranking!C9</f>
        <v/>
      </c>
      <c r="C9" s="9">
        <f>Final_Ranking!D9</f>
        <v/>
      </c>
      <c r="D9" s="9">
        <f>Final_Ranking!H9</f>
        <v/>
      </c>
      <c r="E9" s="12">
        <f>Final_Ranking!G9</f>
        <v/>
      </c>
      <c r="F9" s="9">
        <f>Final_Ranking!A9</f>
        <v/>
      </c>
      <c r="G9" s="10">
        <f>Raw_Data!H9</f>
        <v/>
      </c>
    </row>
    <row r="10">
      <c r="A10" s="5">
        <f>Final_Ranking!B10</f>
        <v/>
      </c>
      <c r="B10" s="6">
        <f>Final_Ranking!C10</f>
        <v/>
      </c>
      <c r="C10" s="6">
        <f>Final_Ranking!D10</f>
        <v/>
      </c>
      <c r="D10" s="6">
        <f>Final_Ranking!H10</f>
        <v/>
      </c>
      <c r="E10" s="11">
        <f>Final_Ranking!G10</f>
        <v/>
      </c>
      <c r="F10" s="6">
        <f>Final_Ranking!A10</f>
        <v/>
      </c>
      <c r="G10" s="7">
        <f>Raw_Data!H10</f>
        <v/>
      </c>
    </row>
    <row r="11">
      <c r="A11" s="8">
        <f>Final_Ranking!B11</f>
        <v/>
      </c>
      <c r="B11" s="9">
        <f>Final_Ranking!C11</f>
        <v/>
      </c>
      <c r="C11" s="9">
        <f>Final_Ranking!D11</f>
        <v/>
      </c>
      <c r="D11" s="9">
        <f>Final_Ranking!H11</f>
        <v/>
      </c>
      <c r="E11" s="12">
        <f>Final_Ranking!G11</f>
        <v/>
      </c>
      <c r="F11" s="9">
        <f>Final_Ranking!A11</f>
        <v/>
      </c>
      <c r="G11" s="10">
        <f>Raw_Data!H11</f>
        <v/>
      </c>
    </row>
    <row r="12">
      <c r="A12" s="5">
        <f>Final_Ranking!B12</f>
        <v/>
      </c>
      <c r="B12" s="6">
        <f>Final_Ranking!C12</f>
        <v/>
      </c>
      <c r="C12" s="6">
        <f>Final_Ranking!D12</f>
        <v/>
      </c>
      <c r="D12" s="6">
        <f>Final_Ranking!H12</f>
        <v/>
      </c>
      <c r="E12" s="11">
        <f>Final_Ranking!G12</f>
        <v/>
      </c>
      <c r="F12" s="6">
        <f>Final_Ranking!A12</f>
        <v/>
      </c>
      <c r="G12" s="7">
        <f>Raw_Data!H12</f>
        <v/>
      </c>
    </row>
    <row r="13">
      <c r="A13" s="8">
        <f>Final_Ranking!B13</f>
        <v/>
      </c>
      <c r="B13" s="9">
        <f>Final_Ranking!C13</f>
        <v/>
      </c>
      <c r="C13" s="9">
        <f>Final_Ranking!D13</f>
        <v/>
      </c>
      <c r="D13" s="9">
        <f>Final_Ranking!H13</f>
        <v/>
      </c>
      <c r="E13" s="12">
        <f>Final_Ranking!G13</f>
        <v/>
      </c>
      <c r="F13" s="9">
        <f>Final_Ranking!A13</f>
        <v/>
      </c>
      <c r="G13" s="10">
        <f>Raw_Data!H13</f>
        <v/>
      </c>
    </row>
    <row r="14">
      <c r="A14" s="5">
        <f>Final_Ranking!B14</f>
        <v/>
      </c>
      <c r="B14" s="6">
        <f>Final_Ranking!C14</f>
        <v/>
      </c>
      <c r="C14" s="6">
        <f>Final_Ranking!D14</f>
        <v/>
      </c>
      <c r="D14" s="6">
        <f>Final_Ranking!H14</f>
        <v/>
      </c>
      <c r="E14" s="11">
        <f>Final_Ranking!G14</f>
        <v/>
      </c>
      <c r="F14" s="6">
        <f>Final_Ranking!A14</f>
        <v/>
      </c>
      <c r="G14" s="7">
        <f>Raw_Data!H14</f>
        <v/>
      </c>
    </row>
    <row r="15">
      <c r="A15" s="8">
        <f>Final_Ranking!B15</f>
        <v/>
      </c>
      <c r="B15" s="9">
        <f>Final_Ranking!C15</f>
        <v/>
      </c>
      <c r="C15" s="9">
        <f>Final_Ranking!D15</f>
        <v/>
      </c>
      <c r="D15" s="9">
        <f>Final_Ranking!H15</f>
        <v/>
      </c>
      <c r="E15" s="12">
        <f>Final_Ranking!G15</f>
        <v/>
      </c>
      <c r="F15" s="9">
        <f>Final_Ranking!A15</f>
        <v/>
      </c>
      <c r="G15" s="10">
        <f>Raw_Data!H15</f>
        <v/>
      </c>
    </row>
    <row r="16">
      <c r="A16" s="5">
        <f>Final_Ranking!B16</f>
        <v/>
      </c>
      <c r="B16" s="6">
        <f>Final_Ranking!C16</f>
        <v/>
      </c>
      <c r="C16" s="6">
        <f>Final_Ranking!D16</f>
        <v/>
      </c>
      <c r="D16" s="6">
        <f>Final_Ranking!H16</f>
        <v/>
      </c>
      <c r="E16" s="11">
        <f>Final_Ranking!G16</f>
        <v/>
      </c>
      <c r="F16" s="6">
        <f>Final_Ranking!A16</f>
        <v/>
      </c>
      <c r="G16" s="7">
        <f>Raw_Data!H16</f>
        <v/>
      </c>
    </row>
    <row r="17">
      <c r="A17" s="8">
        <f>Final_Ranking!B17</f>
        <v/>
      </c>
      <c r="B17" s="9">
        <f>Final_Ranking!C17</f>
        <v/>
      </c>
      <c r="C17" s="9">
        <f>Final_Ranking!D17</f>
        <v/>
      </c>
      <c r="D17" s="9">
        <f>Final_Ranking!H17</f>
        <v/>
      </c>
      <c r="E17" s="12">
        <f>Final_Ranking!G17</f>
        <v/>
      </c>
      <c r="F17" s="9">
        <f>Final_Ranking!A17</f>
        <v/>
      </c>
      <c r="G17" s="10">
        <f>Raw_Data!H17</f>
        <v/>
      </c>
    </row>
    <row r="18">
      <c r="A18" s="5">
        <f>Final_Ranking!B18</f>
        <v/>
      </c>
      <c r="B18" s="6">
        <f>Final_Ranking!C18</f>
        <v/>
      </c>
      <c r="C18" s="6">
        <f>Final_Ranking!D18</f>
        <v/>
      </c>
      <c r="D18" s="6">
        <f>Final_Ranking!H18</f>
        <v/>
      </c>
      <c r="E18" s="11">
        <f>Final_Ranking!G18</f>
        <v/>
      </c>
      <c r="F18" s="6">
        <f>Final_Ranking!A18</f>
        <v/>
      </c>
      <c r="G18" s="7">
        <f>Raw_Data!H18</f>
        <v/>
      </c>
    </row>
    <row r="19">
      <c r="A19" s="8">
        <f>Final_Ranking!B19</f>
        <v/>
      </c>
      <c r="B19" s="9">
        <f>Final_Ranking!C19</f>
        <v/>
      </c>
      <c r="C19" s="9">
        <f>Final_Ranking!D19</f>
        <v/>
      </c>
      <c r="D19" s="9">
        <f>Final_Ranking!H19</f>
        <v/>
      </c>
      <c r="E19" s="12">
        <f>Final_Ranking!G19</f>
        <v/>
      </c>
      <c r="F19" s="9">
        <f>Final_Ranking!A19</f>
        <v/>
      </c>
      <c r="G19" s="10">
        <f>Raw_Data!H19</f>
        <v/>
      </c>
    </row>
    <row r="20">
      <c r="A20" s="5">
        <f>Final_Ranking!B20</f>
        <v/>
      </c>
      <c r="B20" s="6">
        <f>Final_Ranking!C20</f>
        <v/>
      </c>
      <c r="C20" s="6">
        <f>Final_Ranking!D20</f>
        <v/>
      </c>
      <c r="D20" s="6">
        <f>Final_Ranking!H20</f>
        <v/>
      </c>
      <c r="E20" s="11">
        <f>Final_Ranking!G20</f>
        <v/>
      </c>
      <c r="F20" s="6">
        <f>Final_Ranking!A20</f>
        <v/>
      </c>
      <c r="G20" s="7">
        <f>Raw_Data!H20</f>
        <v/>
      </c>
    </row>
    <row r="21">
      <c r="A21" s="8">
        <f>Final_Ranking!B21</f>
        <v/>
      </c>
      <c r="B21" s="9">
        <f>Final_Ranking!C21</f>
        <v/>
      </c>
      <c r="C21" s="9">
        <f>Final_Ranking!D21</f>
        <v/>
      </c>
      <c r="D21" s="9">
        <f>Final_Ranking!H21</f>
        <v/>
      </c>
      <c r="E21" s="12">
        <f>Final_Ranking!G21</f>
        <v/>
      </c>
      <c r="F21" s="9">
        <f>Final_Ranking!A21</f>
        <v/>
      </c>
      <c r="G21" s="10">
        <f>Raw_Data!H21</f>
        <v/>
      </c>
    </row>
    <row r="22">
      <c r="A22" s="5">
        <f>Final_Ranking!B22</f>
        <v/>
      </c>
      <c r="B22" s="6">
        <f>Final_Ranking!C22</f>
        <v/>
      </c>
      <c r="C22" s="6">
        <f>Final_Ranking!D22</f>
        <v/>
      </c>
      <c r="D22" s="6">
        <f>Final_Ranking!H22</f>
        <v/>
      </c>
      <c r="E22" s="11">
        <f>Final_Ranking!G22</f>
        <v/>
      </c>
      <c r="F22" s="6">
        <f>Final_Ranking!A22</f>
        <v/>
      </c>
      <c r="G22" s="7">
        <f>Raw_Data!H22</f>
        <v/>
      </c>
    </row>
    <row r="23">
      <c r="A23" s="8">
        <f>Final_Ranking!B23</f>
        <v/>
      </c>
      <c r="B23" s="9">
        <f>Final_Ranking!C23</f>
        <v/>
      </c>
      <c r="C23" s="9">
        <f>Final_Ranking!D23</f>
        <v/>
      </c>
      <c r="D23" s="9">
        <f>Final_Ranking!H23</f>
        <v/>
      </c>
      <c r="E23" s="12">
        <f>Final_Ranking!G23</f>
        <v/>
      </c>
      <c r="F23" s="9">
        <f>Final_Ranking!A23</f>
        <v/>
      </c>
      <c r="G23" s="10">
        <f>Raw_Data!H23</f>
        <v/>
      </c>
    </row>
    <row r="24">
      <c r="A24" s="5">
        <f>Final_Ranking!B24</f>
        <v/>
      </c>
      <c r="B24" s="6">
        <f>Final_Ranking!C24</f>
        <v/>
      </c>
      <c r="C24" s="6">
        <f>Final_Ranking!D24</f>
        <v/>
      </c>
      <c r="D24" s="6">
        <f>Final_Ranking!H24</f>
        <v/>
      </c>
      <c r="E24" s="11">
        <f>Final_Ranking!G24</f>
        <v/>
      </c>
      <c r="F24" s="6">
        <f>Final_Ranking!A24</f>
        <v/>
      </c>
      <c r="G24" s="7">
        <f>Raw_Data!H24</f>
        <v/>
      </c>
    </row>
    <row r="25">
      <c r="A25" s="8">
        <f>Final_Ranking!B25</f>
        <v/>
      </c>
      <c r="B25" s="9">
        <f>Final_Ranking!C25</f>
        <v/>
      </c>
      <c r="C25" s="9">
        <f>Final_Ranking!D25</f>
        <v/>
      </c>
      <c r="D25" s="9">
        <f>Final_Ranking!H25</f>
        <v/>
      </c>
      <c r="E25" s="12">
        <f>Final_Ranking!G25</f>
        <v/>
      </c>
      <c r="F25" s="9">
        <f>Final_Ranking!A25</f>
        <v/>
      </c>
      <c r="G25" s="10">
        <f>Raw_Data!H25</f>
        <v/>
      </c>
    </row>
    <row r="26">
      <c r="A26" s="5">
        <f>Final_Ranking!B26</f>
        <v/>
      </c>
      <c r="B26" s="6">
        <f>Final_Ranking!C26</f>
        <v/>
      </c>
      <c r="C26" s="6">
        <f>Final_Ranking!D26</f>
        <v/>
      </c>
      <c r="D26" s="6">
        <f>Final_Ranking!H26</f>
        <v/>
      </c>
      <c r="E26" s="11">
        <f>Final_Ranking!G26</f>
        <v/>
      </c>
      <c r="F26" s="6">
        <f>Final_Ranking!A26</f>
        <v/>
      </c>
      <c r="G26" s="7">
        <f>Raw_Data!H26</f>
        <v/>
      </c>
    </row>
    <row r="27">
      <c r="A27" s="8">
        <f>Final_Ranking!B27</f>
        <v/>
      </c>
      <c r="B27" s="9">
        <f>Final_Ranking!C27</f>
        <v/>
      </c>
      <c r="C27" s="9">
        <f>Final_Ranking!D27</f>
        <v/>
      </c>
      <c r="D27" s="9">
        <f>Final_Ranking!H27</f>
        <v/>
      </c>
      <c r="E27" s="12">
        <f>Final_Ranking!G27</f>
        <v/>
      </c>
      <c r="F27" s="9">
        <f>Final_Ranking!A27</f>
        <v/>
      </c>
      <c r="G27" s="10">
        <f>Raw_Data!H27</f>
        <v/>
      </c>
    </row>
    <row r="28">
      <c r="A28" s="5">
        <f>Final_Ranking!B28</f>
        <v/>
      </c>
      <c r="B28" s="6">
        <f>Final_Ranking!C28</f>
        <v/>
      </c>
      <c r="C28" s="6">
        <f>Final_Ranking!D28</f>
        <v/>
      </c>
      <c r="D28" s="6">
        <f>Final_Ranking!H28</f>
        <v/>
      </c>
      <c r="E28" s="11">
        <f>Final_Ranking!G28</f>
        <v/>
      </c>
      <c r="F28" s="6">
        <f>Final_Ranking!A28</f>
        <v/>
      </c>
      <c r="G28" s="7">
        <f>Raw_Data!H28</f>
        <v/>
      </c>
    </row>
    <row r="29">
      <c r="A29" s="8">
        <f>Final_Ranking!B29</f>
        <v/>
      </c>
      <c r="B29" s="9">
        <f>Final_Ranking!C29</f>
        <v/>
      </c>
      <c r="C29" s="9">
        <f>Final_Ranking!D29</f>
        <v/>
      </c>
      <c r="D29" s="9">
        <f>Final_Ranking!H29</f>
        <v/>
      </c>
      <c r="E29" s="12">
        <f>Final_Ranking!G29</f>
        <v/>
      </c>
      <c r="F29" s="9">
        <f>Final_Ranking!A29</f>
        <v/>
      </c>
      <c r="G29" s="10">
        <f>Raw_Data!H29</f>
        <v/>
      </c>
    </row>
    <row r="30">
      <c r="A30" s="5">
        <f>Final_Ranking!B30</f>
        <v/>
      </c>
      <c r="B30" s="6">
        <f>Final_Ranking!C30</f>
        <v/>
      </c>
      <c r="C30" s="6">
        <f>Final_Ranking!D30</f>
        <v/>
      </c>
      <c r="D30" s="6">
        <f>Final_Ranking!H30</f>
        <v/>
      </c>
      <c r="E30" s="11">
        <f>Final_Ranking!G30</f>
        <v/>
      </c>
      <c r="F30" s="6">
        <f>Final_Ranking!A30</f>
        <v/>
      </c>
      <c r="G30" s="7">
        <f>Raw_Data!H30</f>
        <v/>
      </c>
    </row>
    <row r="31">
      <c r="A31" s="8">
        <f>Final_Ranking!B31</f>
        <v/>
      </c>
      <c r="B31" s="9">
        <f>Final_Ranking!C31</f>
        <v/>
      </c>
      <c r="C31" s="9">
        <f>Final_Ranking!D31</f>
        <v/>
      </c>
      <c r="D31" s="9">
        <f>Final_Ranking!H31</f>
        <v/>
      </c>
      <c r="E31" s="12">
        <f>Final_Ranking!G31</f>
        <v/>
      </c>
      <c r="F31" s="9">
        <f>Final_Ranking!A31</f>
        <v/>
      </c>
      <c r="G31" s="10">
        <f>Raw_Data!H31</f>
        <v/>
      </c>
    </row>
    <row r="32">
      <c r="A32" s="5">
        <f>Final_Ranking!B32</f>
        <v/>
      </c>
      <c r="B32" s="6">
        <f>Final_Ranking!C32</f>
        <v/>
      </c>
      <c r="C32" s="6">
        <f>Final_Ranking!D32</f>
        <v/>
      </c>
      <c r="D32" s="6">
        <f>Final_Ranking!H32</f>
        <v/>
      </c>
      <c r="E32" s="11">
        <f>Final_Ranking!G32</f>
        <v/>
      </c>
      <c r="F32" s="6">
        <f>Final_Ranking!A32</f>
        <v/>
      </c>
      <c r="G32" s="7">
        <f>Raw_Data!H32</f>
        <v/>
      </c>
    </row>
    <row r="33">
      <c r="A33" s="8">
        <f>Final_Ranking!B33</f>
        <v/>
      </c>
      <c r="B33" s="9">
        <f>Final_Ranking!C33</f>
        <v/>
      </c>
      <c r="C33" s="9">
        <f>Final_Ranking!D33</f>
        <v/>
      </c>
      <c r="D33" s="9">
        <f>Final_Ranking!H33</f>
        <v/>
      </c>
      <c r="E33" s="12">
        <f>Final_Ranking!G33</f>
        <v/>
      </c>
      <c r="F33" s="9">
        <f>Final_Ranking!A33</f>
        <v/>
      </c>
      <c r="G33" s="10">
        <f>Raw_Data!H33</f>
        <v/>
      </c>
    </row>
    <row r="34">
      <c r="A34" s="5">
        <f>Final_Ranking!B34</f>
        <v/>
      </c>
      <c r="B34" s="6">
        <f>Final_Ranking!C34</f>
        <v/>
      </c>
      <c r="C34" s="6">
        <f>Final_Ranking!D34</f>
        <v/>
      </c>
      <c r="D34" s="6">
        <f>Final_Ranking!H34</f>
        <v/>
      </c>
      <c r="E34" s="11">
        <f>Final_Ranking!G34</f>
        <v/>
      </c>
      <c r="F34" s="6">
        <f>Final_Ranking!A34</f>
        <v/>
      </c>
      <c r="G34" s="7">
        <f>Raw_Data!H34</f>
        <v/>
      </c>
    </row>
    <row r="35">
      <c r="A35" s="8">
        <f>Final_Ranking!B35</f>
        <v/>
      </c>
      <c r="B35" s="9">
        <f>Final_Ranking!C35</f>
        <v/>
      </c>
      <c r="C35" s="9">
        <f>Final_Ranking!D35</f>
        <v/>
      </c>
      <c r="D35" s="9">
        <f>Final_Ranking!H35</f>
        <v/>
      </c>
      <c r="E35" s="12">
        <f>Final_Ranking!G35</f>
        <v/>
      </c>
      <c r="F35" s="9">
        <f>Final_Ranking!A35</f>
        <v/>
      </c>
      <c r="G35" s="10">
        <f>Raw_Data!H35</f>
        <v/>
      </c>
    </row>
    <row r="36">
      <c r="A36" s="5">
        <f>Final_Ranking!B36</f>
        <v/>
      </c>
      <c r="B36" s="6">
        <f>Final_Ranking!C36</f>
        <v/>
      </c>
      <c r="C36" s="6">
        <f>Final_Ranking!D36</f>
        <v/>
      </c>
      <c r="D36" s="6">
        <f>Final_Ranking!H36</f>
        <v/>
      </c>
      <c r="E36" s="11">
        <f>Final_Ranking!G36</f>
        <v/>
      </c>
      <c r="F36" s="6">
        <f>Final_Ranking!A36</f>
        <v/>
      </c>
      <c r="G36" s="7">
        <f>Raw_Data!H36</f>
        <v/>
      </c>
    </row>
    <row r="37">
      <c r="A37" s="8">
        <f>Final_Ranking!B37</f>
        <v/>
      </c>
      <c r="B37" s="9">
        <f>Final_Ranking!C37</f>
        <v/>
      </c>
      <c r="C37" s="9">
        <f>Final_Ranking!D37</f>
        <v/>
      </c>
      <c r="D37" s="9">
        <f>Final_Ranking!H37</f>
        <v/>
      </c>
      <c r="E37" s="12">
        <f>Final_Ranking!G37</f>
        <v/>
      </c>
      <c r="F37" s="9">
        <f>Final_Ranking!A37</f>
        <v/>
      </c>
      <c r="G37" s="10">
        <f>Raw_Data!H37</f>
        <v/>
      </c>
    </row>
    <row r="38">
      <c r="A38" s="5">
        <f>Final_Ranking!B38</f>
        <v/>
      </c>
      <c r="B38" s="6">
        <f>Final_Ranking!C38</f>
        <v/>
      </c>
      <c r="C38" s="6">
        <f>Final_Ranking!D38</f>
        <v/>
      </c>
      <c r="D38" s="6">
        <f>Final_Ranking!H38</f>
        <v/>
      </c>
      <c r="E38" s="11">
        <f>Final_Ranking!G38</f>
        <v/>
      </c>
      <c r="F38" s="6">
        <f>Final_Ranking!A38</f>
        <v/>
      </c>
      <c r="G38" s="7">
        <f>Raw_Data!H38</f>
        <v/>
      </c>
    </row>
    <row r="39">
      <c r="A39" s="8">
        <f>Final_Ranking!B39</f>
        <v/>
      </c>
      <c r="B39" s="9">
        <f>Final_Ranking!C39</f>
        <v/>
      </c>
      <c r="C39" s="9">
        <f>Final_Ranking!D39</f>
        <v/>
      </c>
      <c r="D39" s="9">
        <f>Final_Ranking!H39</f>
        <v/>
      </c>
      <c r="E39" s="12">
        <f>Final_Ranking!G39</f>
        <v/>
      </c>
      <c r="F39" s="9">
        <f>Final_Ranking!A39</f>
        <v/>
      </c>
      <c r="G39" s="10">
        <f>Raw_Data!H39</f>
        <v/>
      </c>
    </row>
    <row r="40">
      <c r="A40" s="5">
        <f>Final_Ranking!B40</f>
        <v/>
      </c>
      <c r="B40" s="6">
        <f>Final_Ranking!C40</f>
        <v/>
      </c>
      <c r="C40" s="6">
        <f>Final_Ranking!D40</f>
        <v/>
      </c>
      <c r="D40" s="6">
        <f>Final_Ranking!H40</f>
        <v/>
      </c>
      <c r="E40" s="11">
        <f>Final_Ranking!G40</f>
        <v/>
      </c>
      <c r="F40" s="6">
        <f>Final_Ranking!A40</f>
        <v/>
      </c>
      <c r="G40" s="7">
        <f>Raw_Data!H40</f>
        <v/>
      </c>
    </row>
    <row r="41">
      <c r="A41" s="8">
        <f>Final_Ranking!B41</f>
        <v/>
      </c>
      <c r="B41" s="9">
        <f>Final_Ranking!C41</f>
        <v/>
      </c>
      <c r="C41" s="9">
        <f>Final_Ranking!D41</f>
        <v/>
      </c>
      <c r="D41" s="9">
        <f>Final_Ranking!H41</f>
        <v/>
      </c>
      <c r="E41" s="12">
        <f>Final_Ranking!G41</f>
        <v/>
      </c>
      <c r="F41" s="9">
        <f>Final_Ranking!A41</f>
        <v/>
      </c>
      <c r="G41" s="10">
        <f>Raw_Data!H41</f>
        <v/>
      </c>
    </row>
    <row r="42">
      <c r="A42" s="5">
        <f>Final_Ranking!B42</f>
        <v/>
      </c>
      <c r="B42" s="6">
        <f>Final_Ranking!C42</f>
        <v/>
      </c>
      <c r="C42" s="6">
        <f>Final_Ranking!D42</f>
        <v/>
      </c>
      <c r="D42" s="6">
        <f>Final_Ranking!H42</f>
        <v/>
      </c>
      <c r="E42" s="11">
        <f>Final_Ranking!G42</f>
        <v/>
      </c>
      <c r="F42" s="6">
        <f>Final_Ranking!A42</f>
        <v/>
      </c>
      <c r="G42" s="7">
        <f>Raw_Data!H42</f>
        <v/>
      </c>
    </row>
    <row r="43">
      <c r="A43" s="8">
        <f>Final_Ranking!B43</f>
        <v/>
      </c>
      <c r="B43" s="9">
        <f>Final_Ranking!C43</f>
        <v/>
      </c>
      <c r="C43" s="9">
        <f>Final_Ranking!D43</f>
        <v/>
      </c>
      <c r="D43" s="9">
        <f>Final_Ranking!H43</f>
        <v/>
      </c>
      <c r="E43" s="12">
        <f>Final_Ranking!G43</f>
        <v/>
      </c>
      <c r="F43" s="9">
        <f>Final_Ranking!A43</f>
        <v/>
      </c>
      <c r="G43" s="10">
        <f>Raw_Data!H43</f>
        <v/>
      </c>
    </row>
    <row r="44">
      <c r="A44" s="5">
        <f>Final_Ranking!B44</f>
        <v/>
      </c>
      <c r="B44" s="6">
        <f>Final_Ranking!C44</f>
        <v/>
      </c>
      <c r="C44" s="6">
        <f>Final_Ranking!D44</f>
        <v/>
      </c>
      <c r="D44" s="6">
        <f>Final_Ranking!H44</f>
        <v/>
      </c>
      <c r="E44" s="11">
        <f>Final_Ranking!G44</f>
        <v/>
      </c>
      <c r="F44" s="6">
        <f>Final_Ranking!A44</f>
        <v/>
      </c>
      <c r="G44" s="7">
        <f>Raw_Data!H44</f>
        <v/>
      </c>
    </row>
    <row r="45">
      <c r="A45" s="8">
        <f>Final_Ranking!B45</f>
        <v/>
      </c>
      <c r="B45" s="9">
        <f>Final_Ranking!C45</f>
        <v/>
      </c>
      <c r="C45" s="9">
        <f>Final_Ranking!D45</f>
        <v/>
      </c>
      <c r="D45" s="9">
        <f>Final_Ranking!H45</f>
        <v/>
      </c>
      <c r="E45" s="12">
        <f>Final_Ranking!G45</f>
        <v/>
      </c>
      <c r="F45" s="9">
        <f>Final_Ranking!A45</f>
        <v/>
      </c>
      <c r="G45" s="10">
        <f>Raw_Data!H45</f>
        <v/>
      </c>
    </row>
    <row r="46">
      <c r="A46" s="5">
        <f>Final_Ranking!B46</f>
        <v/>
      </c>
      <c r="B46" s="6">
        <f>Final_Ranking!C46</f>
        <v/>
      </c>
      <c r="C46" s="6">
        <f>Final_Ranking!D46</f>
        <v/>
      </c>
      <c r="D46" s="6">
        <f>Final_Ranking!H46</f>
        <v/>
      </c>
      <c r="E46" s="11">
        <f>Final_Ranking!G46</f>
        <v/>
      </c>
      <c r="F46" s="6">
        <f>Final_Ranking!A46</f>
        <v/>
      </c>
      <c r="G46" s="7">
        <f>Raw_Data!H46</f>
        <v/>
      </c>
    </row>
    <row r="47">
      <c r="A47" s="8">
        <f>Final_Ranking!B47</f>
        <v/>
      </c>
      <c r="B47" s="9">
        <f>Final_Ranking!C47</f>
        <v/>
      </c>
      <c r="C47" s="9">
        <f>Final_Ranking!D47</f>
        <v/>
      </c>
      <c r="D47" s="9">
        <f>Final_Ranking!H47</f>
        <v/>
      </c>
      <c r="E47" s="12">
        <f>Final_Ranking!G47</f>
        <v/>
      </c>
      <c r="F47" s="9">
        <f>Final_Ranking!A47</f>
        <v/>
      </c>
      <c r="G47" s="10">
        <f>Raw_Data!H47</f>
        <v/>
      </c>
    </row>
    <row r="48">
      <c r="A48" s="5">
        <f>Final_Ranking!B48</f>
        <v/>
      </c>
      <c r="B48" s="6">
        <f>Final_Ranking!C48</f>
        <v/>
      </c>
      <c r="C48" s="6">
        <f>Final_Ranking!D48</f>
        <v/>
      </c>
      <c r="D48" s="6">
        <f>Final_Ranking!H48</f>
        <v/>
      </c>
      <c r="E48" s="11">
        <f>Final_Ranking!G48</f>
        <v/>
      </c>
      <c r="F48" s="6">
        <f>Final_Ranking!A48</f>
        <v/>
      </c>
      <c r="G48" s="7">
        <f>Raw_Data!H48</f>
        <v/>
      </c>
    </row>
    <row r="49">
      <c r="A49" s="8">
        <f>Final_Ranking!B49</f>
        <v/>
      </c>
      <c r="B49" s="9">
        <f>Final_Ranking!C49</f>
        <v/>
      </c>
      <c r="C49" s="9">
        <f>Final_Ranking!D49</f>
        <v/>
      </c>
      <c r="D49" s="9">
        <f>Final_Ranking!H49</f>
        <v/>
      </c>
      <c r="E49" s="12">
        <f>Final_Ranking!G49</f>
        <v/>
      </c>
      <c r="F49" s="9">
        <f>Final_Ranking!A49</f>
        <v/>
      </c>
      <c r="G49" s="10">
        <f>Raw_Data!H49</f>
        <v/>
      </c>
    </row>
    <row r="50">
      <c r="A50" s="5">
        <f>Final_Ranking!B50</f>
        <v/>
      </c>
      <c r="B50" s="6">
        <f>Final_Ranking!C50</f>
        <v/>
      </c>
      <c r="C50" s="6">
        <f>Final_Ranking!D50</f>
        <v/>
      </c>
      <c r="D50" s="6">
        <f>Final_Ranking!H50</f>
        <v/>
      </c>
      <c r="E50" s="11">
        <f>Final_Ranking!G50</f>
        <v/>
      </c>
      <c r="F50" s="6">
        <f>Final_Ranking!A50</f>
        <v/>
      </c>
      <c r="G50" s="7">
        <f>Raw_Data!H50</f>
        <v/>
      </c>
    </row>
    <row r="51">
      <c r="A51" s="8">
        <f>Final_Ranking!B51</f>
        <v/>
      </c>
      <c r="B51" s="9">
        <f>Final_Ranking!C51</f>
        <v/>
      </c>
      <c r="C51" s="9">
        <f>Final_Ranking!D51</f>
        <v/>
      </c>
      <c r="D51" s="9">
        <f>Final_Ranking!H51</f>
        <v/>
      </c>
      <c r="E51" s="12">
        <f>Final_Ranking!G51</f>
        <v/>
      </c>
      <c r="F51" s="9">
        <f>Final_Ranking!A51</f>
        <v/>
      </c>
      <c r="G51" s="10">
        <f>Raw_Data!H51</f>
        <v/>
      </c>
    </row>
    <row r="52">
      <c r="A52" s="5">
        <f>Final_Ranking!B52</f>
        <v/>
      </c>
      <c r="B52" s="6">
        <f>Final_Ranking!C52</f>
        <v/>
      </c>
      <c r="C52" s="6">
        <f>Final_Ranking!D52</f>
        <v/>
      </c>
      <c r="D52" s="6">
        <f>Final_Ranking!H52</f>
        <v/>
      </c>
      <c r="E52" s="11">
        <f>Final_Ranking!G52</f>
        <v/>
      </c>
      <c r="F52" s="6">
        <f>Final_Ranking!A52</f>
        <v/>
      </c>
      <c r="G52" s="7">
        <f>Raw_Data!H52</f>
        <v/>
      </c>
    </row>
    <row r="53">
      <c r="A53" s="8">
        <f>Final_Ranking!B53</f>
        <v/>
      </c>
      <c r="B53" s="9">
        <f>Final_Ranking!C53</f>
        <v/>
      </c>
      <c r="C53" s="9">
        <f>Final_Ranking!D53</f>
        <v/>
      </c>
      <c r="D53" s="9">
        <f>Final_Ranking!H53</f>
        <v/>
      </c>
      <c r="E53" s="12">
        <f>Final_Ranking!G53</f>
        <v/>
      </c>
      <c r="F53" s="9">
        <f>Final_Ranking!A53</f>
        <v/>
      </c>
      <c r="G53" s="10">
        <f>Raw_Data!H53</f>
        <v/>
      </c>
    </row>
    <row r="54">
      <c r="A54" s="5">
        <f>Final_Ranking!B54</f>
        <v/>
      </c>
      <c r="B54" s="6">
        <f>Final_Ranking!C54</f>
        <v/>
      </c>
      <c r="C54" s="6">
        <f>Final_Ranking!D54</f>
        <v/>
      </c>
      <c r="D54" s="6">
        <f>Final_Ranking!H54</f>
        <v/>
      </c>
      <c r="E54" s="11">
        <f>Final_Ranking!G54</f>
        <v/>
      </c>
      <c r="F54" s="6">
        <f>Final_Ranking!A54</f>
        <v/>
      </c>
      <c r="G54" s="7">
        <f>Raw_Data!H54</f>
        <v/>
      </c>
    </row>
    <row r="55">
      <c r="A55" s="8">
        <f>Final_Ranking!B55</f>
        <v/>
      </c>
      <c r="B55" s="9">
        <f>Final_Ranking!C55</f>
        <v/>
      </c>
      <c r="C55" s="9">
        <f>Final_Ranking!D55</f>
        <v/>
      </c>
      <c r="D55" s="9">
        <f>Final_Ranking!H55</f>
        <v/>
      </c>
      <c r="E55" s="12">
        <f>Final_Ranking!G55</f>
        <v/>
      </c>
      <c r="F55" s="9">
        <f>Final_Ranking!A55</f>
        <v/>
      </c>
      <c r="G55" s="10">
        <f>Raw_Data!H55</f>
        <v/>
      </c>
    </row>
    <row r="56">
      <c r="A56" s="5">
        <f>Final_Ranking!B56</f>
        <v/>
      </c>
      <c r="B56" s="6">
        <f>Final_Ranking!C56</f>
        <v/>
      </c>
      <c r="C56" s="6">
        <f>Final_Ranking!D56</f>
        <v/>
      </c>
      <c r="D56" s="6">
        <f>Final_Ranking!H56</f>
        <v/>
      </c>
      <c r="E56" s="11">
        <f>Final_Ranking!G56</f>
        <v/>
      </c>
      <c r="F56" s="6">
        <f>Final_Ranking!A56</f>
        <v/>
      </c>
      <c r="G56" s="7">
        <f>Raw_Data!H56</f>
        <v/>
      </c>
    </row>
    <row r="57">
      <c r="A57" s="8">
        <f>Final_Ranking!B57</f>
        <v/>
      </c>
      <c r="B57" s="9">
        <f>Final_Ranking!C57</f>
        <v/>
      </c>
      <c r="C57" s="9">
        <f>Final_Ranking!D57</f>
        <v/>
      </c>
      <c r="D57" s="9">
        <f>Final_Ranking!H57</f>
        <v/>
      </c>
      <c r="E57" s="12">
        <f>Final_Ranking!G57</f>
        <v/>
      </c>
      <c r="F57" s="9">
        <f>Final_Ranking!A57</f>
        <v/>
      </c>
      <c r="G57" s="10">
        <f>Raw_Data!H57</f>
        <v/>
      </c>
    </row>
    <row r="58">
      <c r="A58" s="5">
        <f>Final_Ranking!B58</f>
        <v/>
      </c>
      <c r="B58" s="6">
        <f>Final_Ranking!C58</f>
        <v/>
      </c>
      <c r="C58" s="6">
        <f>Final_Ranking!D58</f>
        <v/>
      </c>
      <c r="D58" s="6">
        <f>Final_Ranking!H58</f>
        <v/>
      </c>
      <c r="E58" s="11">
        <f>Final_Ranking!G58</f>
        <v/>
      </c>
      <c r="F58" s="6">
        <f>Final_Ranking!A58</f>
        <v/>
      </c>
      <c r="G58" s="7">
        <f>Raw_Data!H58</f>
        <v/>
      </c>
    </row>
    <row r="59">
      <c r="A59" s="8">
        <f>Final_Ranking!B59</f>
        <v/>
      </c>
      <c r="B59" s="9">
        <f>Final_Ranking!C59</f>
        <v/>
      </c>
      <c r="C59" s="9">
        <f>Final_Ranking!D59</f>
        <v/>
      </c>
      <c r="D59" s="9">
        <f>Final_Ranking!H59</f>
        <v/>
      </c>
      <c r="E59" s="12">
        <f>Final_Ranking!G59</f>
        <v/>
      </c>
      <c r="F59" s="9">
        <f>Final_Ranking!A59</f>
        <v/>
      </c>
      <c r="G59" s="10">
        <f>Raw_Data!H59</f>
        <v/>
      </c>
    </row>
    <row r="60">
      <c r="A60" s="5">
        <f>Final_Ranking!B60</f>
        <v/>
      </c>
      <c r="B60" s="6">
        <f>Final_Ranking!C60</f>
        <v/>
      </c>
      <c r="C60" s="6">
        <f>Final_Ranking!D60</f>
        <v/>
      </c>
      <c r="D60" s="6">
        <f>Final_Ranking!H60</f>
        <v/>
      </c>
      <c r="E60" s="11">
        <f>Final_Ranking!G60</f>
        <v/>
      </c>
      <c r="F60" s="6">
        <f>Final_Ranking!A60</f>
        <v/>
      </c>
      <c r="G60" s="7">
        <f>Raw_Data!H60</f>
        <v/>
      </c>
    </row>
    <row r="61">
      <c r="A61" s="8">
        <f>Final_Ranking!B61</f>
        <v/>
      </c>
      <c r="B61" s="9">
        <f>Final_Ranking!C61</f>
        <v/>
      </c>
      <c r="C61" s="9">
        <f>Final_Ranking!D61</f>
        <v/>
      </c>
      <c r="D61" s="9">
        <f>Final_Ranking!H61</f>
        <v/>
      </c>
      <c r="E61" s="12">
        <f>Final_Ranking!G61</f>
        <v/>
      </c>
      <c r="F61" s="9">
        <f>Final_Ranking!A61</f>
        <v/>
      </c>
      <c r="G61" s="10">
        <f>Raw_Data!H61</f>
        <v/>
      </c>
    </row>
    <row r="62">
      <c r="A62" s="5">
        <f>Final_Ranking!B62</f>
        <v/>
      </c>
      <c r="B62" s="6">
        <f>Final_Ranking!C62</f>
        <v/>
      </c>
      <c r="C62" s="6">
        <f>Final_Ranking!D62</f>
        <v/>
      </c>
      <c r="D62" s="6">
        <f>Final_Ranking!H62</f>
        <v/>
      </c>
      <c r="E62" s="11">
        <f>Final_Ranking!G62</f>
        <v/>
      </c>
      <c r="F62" s="6">
        <f>Final_Ranking!A62</f>
        <v/>
      </c>
      <c r="G62" s="7">
        <f>Raw_Data!H62</f>
        <v/>
      </c>
    </row>
    <row r="63">
      <c r="A63" s="8">
        <f>Final_Ranking!B63</f>
        <v/>
      </c>
      <c r="B63" s="9">
        <f>Final_Ranking!C63</f>
        <v/>
      </c>
      <c r="C63" s="9">
        <f>Final_Ranking!D63</f>
        <v/>
      </c>
      <c r="D63" s="9">
        <f>Final_Ranking!H63</f>
        <v/>
      </c>
      <c r="E63" s="12">
        <f>Final_Ranking!G63</f>
        <v/>
      </c>
      <c r="F63" s="9">
        <f>Final_Ranking!A63</f>
        <v/>
      </c>
      <c r="G63" s="10">
        <f>Raw_Data!H63</f>
        <v/>
      </c>
    </row>
    <row r="64">
      <c r="A64" s="5">
        <f>Final_Ranking!B64</f>
        <v/>
      </c>
      <c r="B64" s="6">
        <f>Final_Ranking!C64</f>
        <v/>
      </c>
      <c r="C64" s="6">
        <f>Final_Ranking!D64</f>
        <v/>
      </c>
      <c r="D64" s="6">
        <f>Final_Ranking!H64</f>
        <v/>
      </c>
      <c r="E64" s="11">
        <f>Final_Ranking!G64</f>
        <v/>
      </c>
      <c r="F64" s="6">
        <f>Final_Ranking!A64</f>
        <v/>
      </c>
      <c r="G64" s="7">
        <f>Raw_Data!H64</f>
        <v/>
      </c>
    </row>
    <row r="65">
      <c r="A65" s="8">
        <f>Final_Ranking!B65</f>
        <v/>
      </c>
      <c r="B65" s="9">
        <f>Final_Ranking!C65</f>
        <v/>
      </c>
      <c r="C65" s="9">
        <f>Final_Ranking!D65</f>
        <v/>
      </c>
      <c r="D65" s="9">
        <f>Final_Ranking!H65</f>
        <v/>
      </c>
      <c r="E65" s="12">
        <f>Final_Ranking!G65</f>
        <v/>
      </c>
      <c r="F65" s="9">
        <f>Final_Ranking!A65</f>
        <v/>
      </c>
      <c r="G65" s="10">
        <f>Raw_Data!H65</f>
        <v/>
      </c>
    </row>
    <row r="66">
      <c r="A66" s="5">
        <f>Final_Ranking!B66</f>
        <v/>
      </c>
      <c r="B66" s="6">
        <f>Final_Ranking!C66</f>
        <v/>
      </c>
      <c r="C66" s="6">
        <f>Final_Ranking!D66</f>
        <v/>
      </c>
      <c r="D66" s="6">
        <f>Final_Ranking!H66</f>
        <v/>
      </c>
      <c r="E66" s="11">
        <f>Final_Ranking!G66</f>
        <v/>
      </c>
      <c r="F66" s="6">
        <f>Final_Ranking!A66</f>
        <v/>
      </c>
      <c r="G66" s="7">
        <f>Raw_Data!H66</f>
        <v/>
      </c>
    </row>
    <row r="67">
      <c r="A67" s="8">
        <f>Final_Ranking!B67</f>
        <v/>
      </c>
      <c r="B67" s="9">
        <f>Final_Ranking!C67</f>
        <v/>
      </c>
      <c r="C67" s="9">
        <f>Final_Ranking!D67</f>
        <v/>
      </c>
      <c r="D67" s="9">
        <f>Final_Ranking!H67</f>
        <v/>
      </c>
      <c r="E67" s="12">
        <f>Final_Ranking!G67</f>
        <v/>
      </c>
      <c r="F67" s="9">
        <f>Final_Ranking!A67</f>
        <v/>
      </c>
      <c r="G67" s="10">
        <f>Raw_Data!H67</f>
        <v/>
      </c>
    </row>
    <row r="68">
      <c r="A68" s="5">
        <f>Final_Ranking!B68</f>
        <v/>
      </c>
      <c r="B68" s="6">
        <f>Final_Ranking!C68</f>
        <v/>
      </c>
      <c r="C68" s="6">
        <f>Final_Ranking!D68</f>
        <v/>
      </c>
      <c r="D68" s="6">
        <f>Final_Ranking!H68</f>
        <v/>
      </c>
      <c r="E68" s="11">
        <f>Final_Ranking!G68</f>
        <v/>
      </c>
      <c r="F68" s="6">
        <f>Final_Ranking!A68</f>
        <v/>
      </c>
      <c r="G68" s="7">
        <f>Raw_Data!H68</f>
        <v/>
      </c>
    </row>
    <row r="69">
      <c r="A69" s="8">
        <f>Final_Ranking!B69</f>
        <v/>
      </c>
      <c r="B69" s="9">
        <f>Final_Ranking!C69</f>
        <v/>
      </c>
      <c r="C69" s="9">
        <f>Final_Ranking!D69</f>
        <v/>
      </c>
      <c r="D69" s="9">
        <f>Final_Ranking!H69</f>
        <v/>
      </c>
      <c r="E69" s="12">
        <f>Final_Ranking!G69</f>
        <v/>
      </c>
      <c r="F69" s="9">
        <f>Final_Ranking!A69</f>
        <v/>
      </c>
      <c r="G69" s="10">
        <f>Raw_Data!H69</f>
        <v/>
      </c>
    </row>
    <row r="70">
      <c r="A70" s="5">
        <f>Final_Ranking!B70</f>
        <v/>
      </c>
      <c r="B70" s="6">
        <f>Final_Ranking!C70</f>
        <v/>
      </c>
      <c r="C70" s="6">
        <f>Final_Ranking!D70</f>
        <v/>
      </c>
      <c r="D70" s="6">
        <f>Final_Ranking!H70</f>
        <v/>
      </c>
      <c r="E70" s="11">
        <f>Final_Ranking!G70</f>
        <v/>
      </c>
      <c r="F70" s="6">
        <f>Final_Ranking!A70</f>
        <v/>
      </c>
      <c r="G70" s="7">
        <f>Raw_Data!H70</f>
        <v/>
      </c>
    </row>
    <row r="71">
      <c r="A71" s="8">
        <f>Final_Ranking!B71</f>
        <v/>
      </c>
      <c r="B71" s="9">
        <f>Final_Ranking!C71</f>
        <v/>
      </c>
      <c r="C71" s="9">
        <f>Final_Ranking!D71</f>
        <v/>
      </c>
      <c r="D71" s="9">
        <f>Final_Ranking!H71</f>
        <v/>
      </c>
      <c r="E71" s="12">
        <f>Final_Ranking!G71</f>
        <v/>
      </c>
      <c r="F71" s="9">
        <f>Final_Ranking!A71</f>
        <v/>
      </c>
      <c r="G71" s="10">
        <f>Raw_Data!H71</f>
        <v/>
      </c>
    </row>
    <row r="72">
      <c r="A72" s="5">
        <f>Final_Ranking!B72</f>
        <v/>
      </c>
      <c r="B72" s="6">
        <f>Final_Ranking!C72</f>
        <v/>
      </c>
      <c r="C72" s="6">
        <f>Final_Ranking!D72</f>
        <v/>
      </c>
      <c r="D72" s="6">
        <f>Final_Ranking!H72</f>
        <v/>
      </c>
      <c r="E72" s="11">
        <f>Final_Ranking!G72</f>
        <v/>
      </c>
      <c r="F72" s="6">
        <f>Final_Ranking!A72</f>
        <v/>
      </c>
      <c r="G72" s="7">
        <f>Raw_Data!H72</f>
        <v/>
      </c>
    </row>
    <row r="73">
      <c r="A73" s="8">
        <f>Final_Ranking!B73</f>
        <v/>
      </c>
      <c r="B73" s="9">
        <f>Final_Ranking!C73</f>
        <v/>
      </c>
      <c r="C73" s="9">
        <f>Final_Ranking!D73</f>
        <v/>
      </c>
      <c r="D73" s="9">
        <f>Final_Ranking!H73</f>
        <v/>
      </c>
      <c r="E73" s="12">
        <f>Final_Ranking!G73</f>
        <v/>
      </c>
      <c r="F73" s="9">
        <f>Final_Ranking!A73</f>
        <v/>
      </c>
      <c r="G73" s="10">
        <f>Raw_Data!H73</f>
        <v/>
      </c>
    </row>
    <row r="74">
      <c r="A74" s="5">
        <f>Final_Ranking!B74</f>
        <v/>
      </c>
      <c r="B74" s="6">
        <f>Final_Ranking!C74</f>
        <v/>
      </c>
      <c r="C74" s="6">
        <f>Final_Ranking!D74</f>
        <v/>
      </c>
      <c r="D74" s="6">
        <f>Final_Ranking!H74</f>
        <v/>
      </c>
      <c r="E74" s="11">
        <f>Final_Ranking!G74</f>
        <v/>
      </c>
      <c r="F74" s="6">
        <f>Final_Ranking!A74</f>
        <v/>
      </c>
      <c r="G74" s="7">
        <f>Raw_Data!H74</f>
        <v/>
      </c>
    </row>
    <row r="75">
      <c r="A75" s="8">
        <f>Final_Ranking!B75</f>
        <v/>
      </c>
      <c r="B75" s="9">
        <f>Final_Ranking!C75</f>
        <v/>
      </c>
      <c r="C75" s="9">
        <f>Final_Ranking!D75</f>
        <v/>
      </c>
      <c r="D75" s="9">
        <f>Final_Ranking!H75</f>
        <v/>
      </c>
      <c r="E75" s="12">
        <f>Final_Ranking!G75</f>
        <v/>
      </c>
      <c r="F75" s="9">
        <f>Final_Ranking!A75</f>
        <v/>
      </c>
      <c r="G75" s="10">
        <f>Raw_Data!H75</f>
        <v/>
      </c>
    </row>
    <row r="76">
      <c r="A76" s="5">
        <f>Final_Ranking!B76</f>
        <v/>
      </c>
      <c r="B76" s="6">
        <f>Final_Ranking!C76</f>
        <v/>
      </c>
      <c r="C76" s="6">
        <f>Final_Ranking!D76</f>
        <v/>
      </c>
      <c r="D76" s="6">
        <f>Final_Ranking!H76</f>
        <v/>
      </c>
      <c r="E76" s="11">
        <f>Final_Ranking!G76</f>
        <v/>
      </c>
      <c r="F76" s="6">
        <f>Final_Ranking!A76</f>
        <v/>
      </c>
      <c r="G76" s="7">
        <f>Raw_Data!H76</f>
        <v/>
      </c>
    </row>
    <row r="77">
      <c r="A77" s="8">
        <f>Final_Ranking!B77</f>
        <v/>
      </c>
      <c r="B77" s="9">
        <f>Final_Ranking!C77</f>
        <v/>
      </c>
      <c r="C77" s="9">
        <f>Final_Ranking!D77</f>
        <v/>
      </c>
      <c r="D77" s="9">
        <f>Final_Ranking!H77</f>
        <v/>
      </c>
      <c r="E77" s="12">
        <f>Final_Ranking!G77</f>
        <v/>
      </c>
      <c r="F77" s="9">
        <f>Final_Ranking!A77</f>
        <v/>
      </c>
      <c r="G77" s="10">
        <f>Raw_Data!H77</f>
        <v/>
      </c>
    </row>
    <row r="78">
      <c r="A78" s="5">
        <f>Final_Ranking!B78</f>
        <v/>
      </c>
      <c r="B78" s="6">
        <f>Final_Ranking!C78</f>
        <v/>
      </c>
      <c r="C78" s="6">
        <f>Final_Ranking!D78</f>
        <v/>
      </c>
      <c r="D78" s="6">
        <f>Final_Ranking!H78</f>
        <v/>
      </c>
      <c r="E78" s="11">
        <f>Final_Ranking!G78</f>
        <v/>
      </c>
      <c r="F78" s="6">
        <f>Final_Ranking!A78</f>
        <v/>
      </c>
      <c r="G78" s="7">
        <f>Raw_Data!H78</f>
        <v/>
      </c>
    </row>
    <row r="79">
      <c r="A79" s="8">
        <f>Final_Ranking!B79</f>
        <v/>
      </c>
      <c r="B79" s="9">
        <f>Final_Ranking!C79</f>
        <v/>
      </c>
      <c r="C79" s="9">
        <f>Final_Ranking!D79</f>
        <v/>
      </c>
      <c r="D79" s="9">
        <f>Final_Ranking!H79</f>
        <v/>
      </c>
      <c r="E79" s="12">
        <f>Final_Ranking!G79</f>
        <v/>
      </c>
      <c r="F79" s="9">
        <f>Final_Ranking!A79</f>
        <v/>
      </c>
      <c r="G79" s="10">
        <f>Raw_Data!H79</f>
        <v/>
      </c>
    </row>
    <row r="80">
      <c r="A80" s="5">
        <f>Final_Ranking!B80</f>
        <v/>
      </c>
      <c r="B80" s="6">
        <f>Final_Ranking!C80</f>
        <v/>
      </c>
      <c r="C80" s="6">
        <f>Final_Ranking!D80</f>
        <v/>
      </c>
      <c r="D80" s="6">
        <f>Final_Ranking!H80</f>
        <v/>
      </c>
      <c r="E80" s="11">
        <f>Final_Ranking!G80</f>
        <v/>
      </c>
      <c r="F80" s="6">
        <f>Final_Ranking!A80</f>
        <v/>
      </c>
      <c r="G80" s="7">
        <f>Raw_Data!H80</f>
        <v/>
      </c>
    </row>
    <row r="81">
      <c r="A81" s="8">
        <f>Final_Ranking!B81</f>
        <v/>
      </c>
      <c r="B81" s="9">
        <f>Final_Ranking!C81</f>
        <v/>
      </c>
      <c r="C81" s="9">
        <f>Final_Ranking!D81</f>
        <v/>
      </c>
      <c r="D81" s="9">
        <f>Final_Ranking!H81</f>
        <v/>
      </c>
      <c r="E81" s="12">
        <f>Final_Ranking!G81</f>
        <v/>
      </c>
      <c r="F81" s="9">
        <f>Final_Ranking!A81</f>
        <v/>
      </c>
      <c r="G81" s="10">
        <f>Raw_Data!H81</f>
        <v/>
      </c>
    </row>
    <row r="82">
      <c r="A82" s="5">
        <f>Final_Ranking!B82</f>
        <v/>
      </c>
      <c r="B82" s="6">
        <f>Final_Ranking!C82</f>
        <v/>
      </c>
      <c r="C82" s="6">
        <f>Final_Ranking!D82</f>
        <v/>
      </c>
      <c r="D82" s="6">
        <f>Final_Ranking!H82</f>
        <v/>
      </c>
      <c r="E82" s="11">
        <f>Final_Ranking!G82</f>
        <v/>
      </c>
      <c r="F82" s="6">
        <f>Final_Ranking!A82</f>
        <v/>
      </c>
      <c r="G82" s="7">
        <f>Raw_Data!H82</f>
        <v/>
      </c>
    </row>
    <row r="83">
      <c r="A83" s="8">
        <f>Final_Ranking!B83</f>
        <v/>
      </c>
      <c r="B83" s="9">
        <f>Final_Ranking!C83</f>
        <v/>
      </c>
      <c r="C83" s="9">
        <f>Final_Ranking!D83</f>
        <v/>
      </c>
      <c r="D83" s="9">
        <f>Final_Ranking!H83</f>
        <v/>
      </c>
      <c r="E83" s="12">
        <f>Final_Ranking!G83</f>
        <v/>
      </c>
      <c r="F83" s="9">
        <f>Final_Ranking!A83</f>
        <v/>
      </c>
      <c r="G83" s="10">
        <f>Raw_Data!H83</f>
        <v/>
      </c>
    </row>
    <row r="84">
      <c r="A84" s="5">
        <f>Final_Ranking!B84</f>
        <v/>
      </c>
      <c r="B84" s="6">
        <f>Final_Ranking!C84</f>
        <v/>
      </c>
      <c r="C84" s="6">
        <f>Final_Ranking!D84</f>
        <v/>
      </c>
      <c r="D84" s="6">
        <f>Final_Ranking!H84</f>
        <v/>
      </c>
      <c r="E84" s="11">
        <f>Final_Ranking!G84</f>
        <v/>
      </c>
      <c r="F84" s="6">
        <f>Final_Ranking!A84</f>
        <v/>
      </c>
      <c r="G84" s="7">
        <f>Raw_Data!H84</f>
        <v/>
      </c>
    </row>
    <row r="85">
      <c r="A85" s="8">
        <f>Final_Ranking!B85</f>
        <v/>
      </c>
      <c r="B85" s="9">
        <f>Final_Ranking!C85</f>
        <v/>
      </c>
      <c r="C85" s="9">
        <f>Final_Ranking!D85</f>
        <v/>
      </c>
      <c r="D85" s="9">
        <f>Final_Ranking!H85</f>
        <v/>
      </c>
      <c r="E85" s="12">
        <f>Final_Ranking!G85</f>
        <v/>
      </c>
      <c r="F85" s="9">
        <f>Final_Ranking!A85</f>
        <v/>
      </c>
      <c r="G85" s="10">
        <f>Raw_Data!H85</f>
        <v/>
      </c>
    </row>
    <row r="86">
      <c r="A86" s="5">
        <f>Final_Ranking!B86</f>
        <v/>
      </c>
      <c r="B86" s="6">
        <f>Final_Ranking!C86</f>
        <v/>
      </c>
      <c r="C86" s="6">
        <f>Final_Ranking!D86</f>
        <v/>
      </c>
      <c r="D86" s="6">
        <f>Final_Ranking!H86</f>
        <v/>
      </c>
      <c r="E86" s="11">
        <f>Final_Ranking!G86</f>
        <v/>
      </c>
      <c r="F86" s="6">
        <f>Final_Ranking!A86</f>
        <v/>
      </c>
      <c r="G86" s="7">
        <f>Raw_Data!H86</f>
        <v/>
      </c>
    </row>
    <row r="87">
      <c r="A87" s="8">
        <f>Final_Ranking!B87</f>
        <v/>
      </c>
      <c r="B87" s="9">
        <f>Final_Ranking!C87</f>
        <v/>
      </c>
      <c r="C87" s="9">
        <f>Final_Ranking!D87</f>
        <v/>
      </c>
      <c r="D87" s="9">
        <f>Final_Ranking!H87</f>
        <v/>
      </c>
      <c r="E87" s="12">
        <f>Final_Ranking!G87</f>
        <v/>
      </c>
      <c r="F87" s="9">
        <f>Final_Ranking!A87</f>
        <v/>
      </c>
      <c r="G87" s="10">
        <f>Raw_Data!H87</f>
        <v/>
      </c>
    </row>
    <row r="88">
      <c r="A88" s="5">
        <f>Final_Ranking!B88</f>
        <v/>
      </c>
      <c r="B88" s="6">
        <f>Final_Ranking!C88</f>
        <v/>
      </c>
      <c r="C88" s="6">
        <f>Final_Ranking!D88</f>
        <v/>
      </c>
      <c r="D88" s="6">
        <f>Final_Ranking!H88</f>
        <v/>
      </c>
      <c r="E88" s="11">
        <f>Final_Ranking!G88</f>
        <v/>
      </c>
      <c r="F88" s="6">
        <f>Final_Ranking!A88</f>
        <v/>
      </c>
      <c r="G88" s="7">
        <f>Raw_Data!H88</f>
        <v/>
      </c>
    </row>
    <row r="89">
      <c r="A89" s="8">
        <f>Final_Ranking!B89</f>
        <v/>
      </c>
      <c r="B89" s="9">
        <f>Final_Ranking!C89</f>
        <v/>
      </c>
      <c r="C89" s="9">
        <f>Final_Ranking!D89</f>
        <v/>
      </c>
      <c r="D89" s="9">
        <f>Final_Ranking!H89</f>
        <v/>
      </c>
      <c r="E89" s="12">
        <f>Final_Ranking!G89</f>
        <v/>
      </c>
      <c r="F89" s="9">
        <f>Final_Ranking!A89</f>
        <v/>
      </c>
      <c r="G89" s="10">
        <f>Raw_Data!H89</f>
        <v/>
      </c>
    </row>
    <row r="90">
      <c r="A90" s="5">
        <f>Final_Ranking!B90</f>
        <v/>
      </c>
      <c r="B90" s="6">
        <f>Final_Ranking!C90</f>
        <v/>
      </c>
      <c r="C90" s="6">
        <f>Final_Ranking!D90</f>
        <v/>
      </c>
      <c r="D90" s="6">
        <f>Final_Ranking!H90</f>
        <v/>
      </c>
      <c r="E90" s="11">
        <f>Final_Ranking!G90</f>
        <v/>
      </c>
      <c r="F90" s="6">
        <f>Final_Ranking!A90</f>
        <v/>
      </c>
      <c r="G90" s="7">
        <f>Raw_Data!H90</f>
        <v/>
      </c>
    </row>
    <row r="91">
      <c r="A91" s="8">
        <f>Final_Ranking!B91</f>
        <v/>
      </c>
      <c r="B91" s="9">
        <f>Final_Ranking!C91</f>
        <v/>
      </c>
      <c r="C91" s="9">
        <f>Final_Ranking!D91</f>
        <v/>
      </c>
      <c r="D91" s="9">
        <f>Final_Ranking!H91</f>
        <v/>
      </c>
      <c r="E91" s="12">
        <f>Final_Ranking!G91</f>
        <v/>
      </c>
      <c r="F91" s="9">
        <f>Final_Ranking!A91</f>
        <v/>
      </c>
      <c r="G91" s="10">
        <f>Raw_Data!H91</f>
        <v/>
      </c>
    </row>
    <row r="92">
      <c r="A92" s="5">
        <f>Final_Ranking!B92</f>
        <v/>
      </c>
      <c r="B92" s="6">
        <f>Final_Ranking!C92</f>
        <v/>
      </c>
      <c r="C92" s="6">
        <f>Final_Ranking!D92</f>
        <v/>
      </c>
      <c r="D92" s="6">
        <f>Final_Ranking!H92</f>
        <v/>
      </c>
      <c r="E92" s="11">
        <f>Final_Ranking!G92</f>
        <v/>
      </c>
      <c r="F92" s="6">
        <f>Final_Ranking!A92</f>
        <v/>
      </c>
      <c r="G92" s="7">
        <f>Raw_Data!H92</f>
        <v/>
      </c>
    </row>
    <row r="93">
      <c r="A93" s="8">
        <f>Final_Ranking!B93</f>
        <v/>
      </c>
      <c r="B93" s="9">
        <f>Final_Ranking!C93</f>
        <v/>
      </c>
      <c r="C93" s="9">
        <f>Final_Ranking!D93</f>
        <v/>
      </c>
      <c r="D93" s="9">
        <f>Final_Ranking!H93</f>
        <v/>
      </c>
      <c r="E93" s="12">
        <f>Final_Ranking!G93</f>
        <v/>
      </c>
      <c r="F93" s="9">
        <f>Final_Ranking!A93</f>
        <v/>
      </c>
      <c r="G93" s="10">
        <f>Raw_Data!H93</f>
        <v/>
      </c>
    </row>
    <row r="94">
      <c r="A94" s="5">
        <f>Final_Ranking!B94</f>
        <v/>
      </c>
      <c r="B94" s="6">
        <f>Final_Ranking!C94</f>
        <v/>
      </c>
      <c r="C94" s="6">
        <f>Final_Ranking!D94</f>
        <v/>
      </c>
      <c r="D94" s="6">
        <f>Final_Ranking!H94</f>
        <v/>
      </c>
      <c r="E94" s="11">
        <f>Final_Ranking!G94</f>
        <v/>
      </c>
      <c r="F94" s="6">
        <f>Final_Ranking!A94</f>
        <v/>
      </c>
      <c r="G94" s="7">
        <f>Raw_Data!H94</f>
        <v/>
      </c>
    </row>
    <row r="95">
      <c r="A95" s="8">
        <f>Final_Ranking!B95</f>
        <v/>
      </c>
      <c r="B95" s="9">
        <f>Final_Ranking!C95</f>
        <v/>
      </c>
      <c r="C95" s="9">
        <f>Final_Ranking!D95</f>
        <v/>
      </c>
      <c r="D95" s="9">
        <f>Final_Ranking!H95</f>
        <v/>
      </c>
      <c r="E95" s="12">
        <f>Final_Ranking!G95</f>
        <v/>
      </c>
      <c r="F95" s="9">
        <f>Final_Ranking!A95</f>
        <v/>
      </c>
      <c r="G95" s="10">
        <f>Raw_Data!H95</f>
        <v/>
      </c>
    </row>
    <row r="96">
      <c r="A96" s="5">
        <f>Final_Ranking!B96</f>
        <v/>
      </c>
      <c r="B96" s="6">
        <f>Final_Ranking!C96</f>
        <v/>
      </c>
      <c r="C96" s="6">
        <f>Final_Ranking!D96</f>
        <v/>
      </c>
      <c r="D96" s="6">
        <f>Final_Ranking!H96</f>
        <v/>
      </c>
      <c r="E96" s="11">
        <f>Final_Ranking!G96</f>
        <v/>
      </c>
      <c r="F96" s="6">
        <f>Final_Ranking!A96</f>
        <v/>
      </c>
      <c r="G96" s="7">
        <f>Raw_Data!H96</f>
        <v/>
      </c>
    </row>
    <row r="97">
      <c r="A97" s="8">
        <f>Final_Ranking!B97</f>
        <v/>
      </c>
      <c r="B97" s="9">
        <f>Final_Ranking!C97</f>
        <v/>
      </c>
      <c r="C97" s="9">
        <f>Final_Ranking!D97</f>
        <v/>
      </c>
      <c r="D97" s="9">
        <f>Final_Ranking!H97</f>
        <v/>
      </c>
      <c r="E97" s="12">
        <f>Final_Ranking!G97</f>
        <v/>
      </c>
      <c r="F97" s="9">
        <f>Final_Ranking!A97</f>
        <v/>
      </c>
      <c r="G97" s="10">
        <f>Raw_Data!H97</f>
        <v/>
      </c>
    </row>
    <row r="98">
      <c r="A98" s="5">
        <f>Final_Ranking!B98</f>
        <v/>
      </c>
      <c r="B98" s="6">
        <f>Final_Ranking!C98</f>
        <v/>
      </c>
      <c r="C98" s="6">
        <f>Final_Ranking!D98</f>
        <v/>
      </c>
      <c r="D98" s="6">
        <f>Final_Ranking!H98</f>
        <v/>
      </c>
      <c r="E98" s="11">
        <f>Final_Ranking!G98</f>
        <v/>
      </c>
      <c r="F98" s="6">
        <f>Final_Ranking!A98</f>
        <v/>
      </c>
      <c r="G98" s="7">
        <f>Raw_Data!H98</f>
        <v/>
      </c>
    </row>
    <row r="99">
      <c r="A99" s="8">
        <f>Final_Ranking!B99</f>
        <v/>
      </c>
      <c r="B99" s="9">
        <f>Final_Ranking!C99</f>
        <v/>
      </c>
      <c r="C99" s="9">
        <f>Final_Ranking!D99</f>
        <v/>
      </c>
      <c r="D99" s="9">
        <f>Final_Ranking!H99</f>
        <v/>
      </c>
      <c r="E99" s="12">
        <f>Final_Ranking!G99</f>
        <v/>
      </c>
      <c r="F99" s="9">
        <f>Final_Ranking!A99</f>
        <v/>
      </c>
      <c r="G99" s="10">
        <f>Raw_Data!H99</f>
        <v/>
      </c>
    </row>
    <row r="100">
      <c r="A100" s="5">
        <f>Final_Ranking!B100</f>
        <v/>
      </c>
      <c r="B100" s="6">
        <f>Final_Ranking!C100</f>
        <v/>
      </c>
      <c r="C100" s="6">
        <f>Final_Ranking!D100</f>
        <v/>
      </c>
      <c r="D100" s="6">
        <f>Final_Ranking!H100</f>
        <v/>
      </c>
      <c r="E100" s="11">
        <f>Final_Ranking!G100</f>
        <v/>
      </c>
      <c r="F100" s="6">
        <f>Final_Ranking!A100</f>
        <v/>
      </c>
      <c r="G100" s="7">
        <f>Raw_Data!H100</f>
        <v/>
      </c>
    </row>
    <row r="101">
      <c r="A101" s="8">
        <f>Final_Ranking!B101</f>
        <v/>
      </c>
      <c r="B101" s="9">
        <f>Final_Ranking!C101</f>
        <v/>
      </c>
      <c r="C101" s="9">
        <f>Final_Ranking!D101</f>
        <v/>
      </c>
      <c r="D101" s="9">
        <f>Final_Ranking!H101</f>
        <v/>
      </c>
      <c r="E101" s="12">
        <f>Final_Ranking!G101</f>
        <v/>
      </c>
      <c r="F101" s="9">
        <f>Final_Ranking!A101</f>
        <v/>
      </c>
      <c r="G101" s="10">
        <f>Raw_Data!H101</f>
        <v/>
      </c>
    </row>
    <row r="102">
      <c r="A102" s="5">
        <f>Final_Ranking!B102</f>
        <v/>
      </c>
      <c r="B102" s="6">
        <f>Final_Ranking!C102</f>
        <v/>
      </c>
      <c r="C102" s="6">
        <f>Final_Ranking!D102</f>
        <v/>
      </c>
      <c r="D102" s="6">
        <f>Final_Ranking!H102</f>
        <v/>
      </c>
      <c r="E102" s="11">
        <f>Final_Ranking!G102</f>
        <v/>
      </c>
      <c r="F102" s="6">
        <f>Final_Ranking!A102</f>
        <v/>
      </c>
      <c r="G102" s="7">
        <f>Raw_Data!H102</f>
        <v/>
      </c>
    </row>
    <row r="103">
      <c r="A103" s="8">
        <f>Final_Ranking!B103</f>
        <v/>
      </c>
      <c r="B103" s="9">
        <f>Final_Ranking!C103</f>
        <v/>
      </c>
      <c r="C103" s="9">
        <f>Final_Ranking!D103</f>
        <v/>
      </c>
      <c r="D103" s="9">
        <f>Final_Ranking!H103</f>
        <v/>
      </c>
      <c r="E103" s="12">
        <f>Final_Ranking!G103</f>
        <v/>
      </c>
      <c r="F103" s="9">
        <f>Final_Ranking!A103</f>
        <v/>
      </c>
      <c r="G103" s="10">
        <f>Raw_Data!H103</f>
        <v/>
      </c>
    </row>
    <row r="104">
      <c r="A104" s="5">
        <f>Final_Ranking!B104</f>
        <v/>
      </c>
      <c r="B104" s="6">
        <f>Final_Ranking!C104</f>
        <v/>
      </c>
      <c r="C104" s="6">
        <f>Final_Ranking!D104</f>
        <v/>
      </c>
      <c r="D104" s="6">
        <f>Final_Ranking!H104</f>
        <v/>
      </c>
      <c r="E104" s="11">
        <f>Final_Ranking!G104</f>
        <v/>
      </c>
      <c r="F104" s="6">
        <f>Final_Ranking!A104</f>
        <v/>
      </c>
      <c r="G104" s="7">
        <f>Raw_Data!H104</f>
        <v/>
      </c>
    </row>
    <row r="105">
      <c r="A105" s="8">
        <f>Final_Ranking!B105</f>
        <v/>
      </c>
      <c r="B105" s="9">
        <f>Final_Ranking!C105</f>
        <v/>
      </c>
      <c r="C105" s="9">
        <f>Final_Ranking!D105</f>
        <v/>
      </c>
      <c r="D105" s="9">
        <f>Final_Ranking!H105</f>
        <v/>
      </c>
      <c r="E105" s="12">
        <f>Final_Ranking!G105</f>
        <v/>
      </c>
      <c r="F105" s="9">
        <f>Final_Ranking!A105</f>
        <v/>
      </c>
      <c r="G105" s="10">
        <f>Raw_Data!H105</f>
        <v/>
      </c>
    </row>
    <row r="106">
      <c r="A106" s="5">
        <f>Final_Ranking!B106</f>
        <v/>
      </c>
      <c r="B106" s="6">
        <f>Final_Ranking!C106</f>
        <v/>
      </c>
      <c r="C106" s="6">
        <f>Final_Ranking!D106</f>
        <v/>
      </c>
      <c r="D106" s="6">
        <f>Final_Ranking!H106</f>
        <v/>
      </c>
      <c r="E106" s="11">
        <f>Final_Ranking!G106</f>
        <v/>
      </c>
      <c r="F106" s="6">
        <f>Final_Ranking!A106</f>
        <v/>
      </c>
      <c r="G106" s="7">
        <f>Raw_Data!H106</f>
        <v/>
      </c>
    </row>
    <row r="107">
      <c r="A107" s="8">
        <f>Final_Ranking!B107</f>
        <v/>
      </c>
      <c r="B107" s="9">
        <f>Final_Ranking!C107</f>
        <v/>
      </c>
      <c r="C107" s="9">
        <f>Final_Ranking!D107</f>
        <v/>
      </c>
      <c r="D107" s="9">
        <f>Final_Ranking!H107</f>
        <v/>
      </c>
      <c r="E107" s="12">
        <f>Final_Ranking!G107</f>
        <v/>
      </c>
      <c r="F107" s="9">
        <f>Final_Ranking!A107</f>
        <v/>
      </c>
      <c r="G107" s="10">
        <f>Raw_Data!H107</f>
        <v/>
      </c>
    </row>
    <row r="108">
      <c r="A108" s="5">
        <f>Final_Ranking!B108</f>
        <v/>
      </c>
      <c r="B108" s="6">
        <f>Final_Ranking!C108</f>
        <v/>
      </c>
      <c r="C108" s="6">
        <f>Final_Ranking!D108</f>
        <v/>
      </c>
      <c r="D108" s="6">
        <f>Final_Ranking!H108</f>
        <v/>
      </c>
      <c r="E108" s="11">
        <f>Final_Ranking!G108</f>
        <v/>
      </c>
      <c r="F108" s="6">
        <f>Final_Ranking!A108</f>
        <v/>
      </c>
      <c r="G108" s="7">
        <f>Raw_Data!H108</f>
        <v/>
      </c>
    </row>
    <row r="109">
      <c r="A109" s="8">
        <f>Final_Ranking!B109</f>
        <v/>
      </c>
      <c r="B109" s="9">
        <f>Final_Ranking!C109</f>
        <v/>
      </c>
      <c r="C109" s="9">
        <f>Final_Ranking!D109</f>
        <v/>
      </c>
      <c r="D109" s="9">
        <f>Final_Ranking!H109</f>
        <v/>
      </c>
      <c r="E109" s="12">
        <f>Final_Ranking!G109</f>
        <v/>
      </c>
      <c r="F109" s="9">
        <f>Final_Ranking!A109</f>
        <v/>
      </c>
      <c r="G109" s="10">
        <f>Raw_Data!H109</f>
        <v/>
      </c>
    </row>
    <row r="110">
      <c r="A110" s="5">
        <f>Final_Ranking!B110</f>
        <v/>
      </c>
      <c r="B110" s="6">
        <f>Final_Ranking!C110</f>
        <v/>
      </c>
      <c r="C110" s="6">
        <f>Final_Ranking!D110</f>
        <v/>
      </c>
      <c r="D110" s="6">
        <f>Final_Ranking!H110</f>
        <v/>
      </c>
      <c r="E110" s="11">
        <f>Final_Ranking!G110</f>
        <v/>
      </c>
      <c r="F110" s="6">
        <f>Final_Ranking!A110</f>
        <v/>
      </c>
      <c r="G110" s="7">
        <f>Raw_Data!H110</f>
        <v/>
      </c>
    </row>
    <row r="111">
      <c r="A111" s="8">
        <f>Final_Ranking!B111</f>
        <v/>
      </c>
      <c r="B111" s="9">
        <f>Final_Ranking!C111</f>
        <v/>
      </c>
      <c r="C111" s="9">
        <f>Final_Ranking!D111</f>
        <v/>
      </c>
      <c r="D111" s="9">
        <f>Final_Ranking!H111</f>
        <v/>
      </c>
      <c r="E111" s="12">
        <f>Final_Ranking!G111</f>
        <v/>
      </c>
      <c r="F111" s="9">
        <f>Final_Ranking!A111</f>
        <v/>
      </c>
      <c r="G111" s="10">
        <f>Raw_Data!H111</f>
        <v/>
      </c>
    </row>
    <row r="112">
      <c r="A112" s="5">
        <f>Final_Ranking!B112</f>
        <v/>
      </c>
      <c r="B112" s="6">
        <f>Final_Ranking!C112</f>
        <v/>
      </c>
      <c r="C112" s="6">
        <f>Final_Ranking!D112</f>
        <v/>
      </c>
      <c r="D112" s="6">
        <f>Final_Ranking!H112</f>
        <v/>
      </c>
      <c r="E112" s="11">
        <f>Final_Ranking!G112</f>
        <v/>
      </c>
      <c r="F112" s="6">
        <f>Final_Ranking!A112</f>
        <v/>
      </c>
      <c r="G112" s="7">
        <f>Raw_Data!H112</f>
        <v/>
      </c>
    </row>
    <row r="113">
      <c r="A113" s="8">
        <f>Final_Ranking!B113</f>
        <v/>
      </c>
      <c r="B113" s="9">
        <f>Final_Ranking!C113</f>
        <v/>
      </c>
      <c r="C113" s="9">
        <f>Final_Ranking!D113</f>
        <v/>
      </c>
      <c r="D113" s="9">
        <f>Final_Ranking!H113</f>
        <v/>
      </c>
      <c r="E113" s="12">
        <f>Final_Ranking!G113</f>
        <v/>
      </c>
      <c r="F113" s="9">
        <f>Final_Ranking!A113</f>
        <v/>
      </c>
      <c r="G113" s="10">
        <f>Raw_Data!H113</f>
        <v/>
      </c>
    </row>
    <row r="114">
      <c r="A114" s="5">
        <f>Final_Ranking!B114</f>
        <v/>
      </c>
      <c r="B114" s="6">
        <f>Final_Ranking!C114</f>
        <v/>
      </c>
      <c r="C114" s="6">
        <f>Final_Ranking!D114</f>
        <v/>
      </c>
      <c r="D114" s="6">
        <f>Final_Ranking!H114</f>
        <v/>
      </c>
      <c r="E114" s="11">
        <f>Final_Ranking!G114</f>
        <v/>
      </c>
      <c r="F114" s="6">
        <f>Final_Ranking!A114</f>
        <v/>
      </c>
      <c r="G114" s="7">
        <f>Raw_Data!H114</f>
        <v/>
      </c>
    </row>
    <row r="115">
      <c r="A115" s="8">
        <f>Final_Ranking!B115</f>
        <v/>
      </c>
      <c r="B115" s="9">
        <f>Final_Ranking!C115</f>
        <v/>
      </c>
      <c r="C115" s="9">
        <f>Final_Ranking!D115</f>
        <v/>
      </c>
      <c r="D115" s="9">
        <f>Final_Ranking!H115</f>
        <v/>
      </c>
      <c r="E115" s="12">
        <f>Final_Ranking!G115</f>
        <v/>
      </c>
      <c r="F115" s="9">
        <f>Final_Ranking!A115</f>
        <v/>
      </c>
      <c r="G115" s="10">
        <f>Raw_Data!H115</f>
        <v/>
      </c>
    </row>
    <row r="116">
      <c r="A116" s="5">
        <f>Final_Ranking!B116</f>
        <v/>
      </c>
      <c r="B116" s="6">
        <f>Final_Ranking!C116</f>
        <v/>
      </c>
      <c r="C116" s="6">
        <f>Final_Ranking!D116</f>
        <v/>
      </c>
      <c r="D116" s="6">
        <f>Final_Ranking!H116</f>
        <v/>
      </c>
      <c r="E116" s="11">
        <f>Final_Ranking!G116</f>
        <v/>
      </c>
      <c r="F116" s="6">
        <f>Final_Ranking!A116</f>
        <v/>
      </c>
      <c r="G116" s="7">
        <f>Raw_Data!H116</f>
        <v/>
      </c>
    </row>
    <row r="117">
      <c r="A117" s="8">
        <f>Final_Ranking!B117</f>
        <v/>
      </c>
      <c r="B117" s="9">
        <f>Final_Ranking!C117</f>
        <v/>
      </c>
      <c r="C117" s="9">
        <f>Final_Ranking!D117</f>
        <v/>
      </c>
      <c r="D117" s="9">
        <f>Final_Ranking!H117</f>
        <v/>
      </c>
      <c r="E117" s="12">
        <f>Final_Ranking!G117</f>
        <v/>
      </c>
      <c r="F117" s="9">
        <f>Final_Ranking!A117</f>
        <v/>
      </c>
      <c r="G117" s="10">
        <f>Raw_Data!H117</f>
        <v/>
      </c>
    </row>
    <row r="118">
      <c r="A118" s="5">
        <f>Final_Ranking!B118</f>
        <v/>
      </c>
      <c r="B118" s="6">
        <f>Final_Ranking!C118</f>
        <v/>
      </c>
      <c r="C118" s="6">
        <f>Final_Ranking!D118</f>
        <v/>
      </c>
      <c r="D118" s="6">
        <f>Final_Ranking!H118</f>
        <v/>
      </c>
      <c r="E118" s="11">
        <f>Final_Ranking!G118</f>
        <v/>
      </c>
      <c r="F118" s="6">
        <f>Final_Ranking!A118</f>
        <v/>
      </c>
      <c r="G118" s="7">
        <f>Raw_Data!H118</f>
        <v/>
      </c>
    </row>
    <row r="119">
      <c r="A119" s="8">
        <f>Final_Ranking!B119</f>
        <v/>
      </c>
      <c r="B119" s="9">
        <f>Final_Ranking!C119</f>
        <v/>
      </c>
      <c r="C119" s="9">
        <f>Final_Ranking!D119</f>
        <v/>
      </c>
      <c r="D119" s="9">
        <f>Final_Ranking!H119</f>
        <v/>
      </c>
      <c r="E119" s="12">
        <f>Final_Ranking!G119</f>
        <v/>
      </c>
      <c r="F119" s="9">
        <f>Final_Ranking!A119</f>
        <v/>
      </c>
      <c r="G119" s="10">
        <f>Raw_Data!H119</f>
        <v/>
      </c>
    </row>
    <row r="120">
      <c r="A120" s="5">
        <f>Final_Ranking!B120</f>
        <v/>
      </c>
      <c r="B120" s="6">
        <f>Final_Ranking!C120</f>
        <v/>
      </c>
      <c r="C120" s="6">
        <f>Final_Ranking!D120</f>
        <v/>
      </c>
      <c r="D120" s="6">
        <f>Final_Ranking!H120</f>
        <v/>
      </c>
      <c r="E120" s="11">
        <f>Final_Ranking!G120</f>
        <v/>
      </c>
      <c r="F120" s="6">
        <f>Final_Ranking!A120</f>
        <v/>
      </c>
      <c r="G120" s="7">
        <f>Raw_Data!H120</f>
        <v/>
      </c>
    </row>
    <row r="121">
      <c r="A121" s="8">
        <f>Final_Ranking!B121</f>
        <v/>
      </c>
      <c r="B121" s="9">
        <f>Final_Ranking!C121</f>
        <v/>
      </c>
      <c r="C121" s="9">
        <f>Final_Ranking!D121</f>
        <v/>
      </c>
      <c r="D121" s="9">
        <f>Final_Ranking!H121</f>
        <v/>
      </c>
      <c r="E121" s="12">
        <f>Final_Ranking!G121</f>
        <v/>
      </c>
      <c r="F121" s="9">
        <f>Final_Ranking!A121</f>
        <v/>
      </c>
      <c r="G121" s="10">
        <f>Raw_Data!H121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2026-06-10T06:13:20Z</dcterms:created>
  <dcterms:modified xmlns:dcterms="http://purl.org/dc/terms/" xmlns:xsi="http://www.w3.org/2001/XMLSchema-instance" xsi:type="dcterms:W3CDTF">2026-06-10T06:13:21Z</dcterms:modified>
</cp:coreProperties>
</file>